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s" sheetId="1" state="visible" r:id="rId3"/>
    <sheet name="Backlog" sheetId="2" state="visible" r:id="rId4"/>
    <sheet name="Epics" sheetId="3" state="visible" r:id="rId5"/>
    <sheet name="Équipe" sheetId="4" state="visible" r:id="rId6"/>
    <sheet name="Cérémonies" sheetId="5" state="visible" r:id="rId7"/>
    <sheet name="Risques" sheetId="6" state="visible" r:id="rId8"/>
  </sheets>
  <definedNames>
    <definedName function="false" hidden="true" localSheetId="1" name="_xlnm._FilterDatabase" vbProcedure="false">Backlog!$A$3:$I$45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<sst xmlns="http://schemas.openxmlformats.org/spreadsheetml/2006/main" count="476" uniqueCount="277">
  <si>
    <t xml:space="preserve">Plan des sprints</t>
  </si>
  <si>
    <t xml:space="preserve">Sprints de 2 semaines. Remplace J par la date réelle quand elle est fixée. Les colonnes D à G se calculent automatiquement depuis le Backlog.</t>
  </si>
  <si>
    <t xml:space="preserve">Sprint</t>
  </si>
  <si>
    <t xml:space="preserve">Période (J = jour de l'événement)</t>
  </si>
  <si>
    <t xml:space="preserve">Objectif du sprint</t>
  </si>
  <si>
    <t xml:space="preserve">Nb stories</t>
  </si>
  <si>
    <t xml:space="preserve">Points prévus</t>
  </si>
  <si>
    <t xml:space="preserve">Points faits</t>
  </si>
  <si>
    <t xml:space="preserve">Avancement</t>
  </si>
  <si>
    <t xml:space="preserve">Sprint 0</t>
  </si>
  <si>
    <t xml:space="preserve">J-70 → J-57</t>
  </si>
  <si>
    <t xml:space="preserve">Cadrage : équipe, rôles, date, lieu, budget, validation par l'université</t>
  </si>
  <si>
    <t xml:space="preserve">Sprint 1</t>
  </si>
  <si>
    <t xml:space="preserve">J-56 → J-43</t>
  </si>
  <si>
    <t xml:space="preserve">Programme défini, intervenants contactés, salles réservées</t>
  </si>
  <si>
    <t xml:space="preserve">Sprint 2</t>
  </si>
  <si>
    <t xml:space="preserve">J-42 → J-29</t>
  </si>
  <si>
    <t xml:space="preserve">Communication lancée, inscriptions ouvertes, CTF en conception</t>
  </si>
  <si>
    <t xml:space="preserve">Sprint 3</t>
  </si>
  <si>
    <t xml:space="preserve">J-28 → J-15</t>
  </si>
  <si>
    <t xml:space="preserve">Contenus prêts : CTF testé, ateliers rédigés, partenaires confirmés</t>
  </si>
  <si>
    <t xml:space="preserve">Sprint 4</t>
  </si>
  <si>
    <t xml:space="preserve">J-14 → J-1</t>
  </si>
  <si>
    <t xml:space="preserve">Répétitions, logistique finale, relances, go/no-go</t>
  </si>
  <si>
    <t xml:space="preserve">Jour J</t>
  </si>
  <si>
    <t xml:space="preserve">J</t>
  </si>
  <si>
    <t xml:space="preserve">Déroulé de l'événement, accueil, animation, captation</t>
  </si>
  <si>
    <t xml:space="preserve">Post-event</t>
  </si>
  <si>
    <t xml:space="preserve">J+1 → J+14</t>
  </si>
  <si>
    <t xml:space="preserve">Bilan, remerciements, rétrospective finale, archivage</t>
  </si>
  <si>
    <t xml:space="preserve">TOTAL</t>
  </si>
  <si>
    <t xml:space="preserve">SECURITY DAY LYON 2 — Product Backlog</t>
  </si>
  <si>
    <t xml:space="preserve">Cases jaunes = à remplir/mettre à jour (Statut, Responsable, Sprint). Priorité MoSCoW : Must / Should / Could / Won't. Points en suite de Fibonacci (1, 2, 3, 5, 8, 13).</t>
  </si>
  <si>
    <t xml:space="preserve">ID</t>
  </si>
  <si>
    <t xml:space="preserve">Epic</t>
  </si>
  <si>
    <t xml:space="preserve">User story</t>
  </si>
  <si>
    <t xml:space="preserve">Critères d'acceptation</t>
  </si>
  <si>
    <t xml:space="preserve">Priorité</t>
  </si>
  <si>
    <t xml:space="preserve">Points</t>
  </si>
  <si>
    <t xml:space="preserve">Statut</t>
  </si>
  <si>
    <t xml:space="preserve">Responsable</t>
  </si>
  <si>
    <t xml:space="preserve">CAD-01</t>
  </si>
  <si>
    <t xml:space="preserve">Cadrage &amp; gouvernance</t>
  </si>
  <si>
    <t xml:space="preserve">En tant qu'organisateur, je veux constituer l'équipe et attribuer les rôles (PO, SM, pôles) afin que chacun sache ce qu'il porte.</t>
  </si>
  <si>
    <t xml:space="preserve">Liste de l'équipe validée ; un référent par pôle ; rôles publiés dans l'onglet Équipe.</t>
  </si>
  <si>
    <t xml:space="preserve">Must</t>
  </si>
  <si>
    <t xml:space="preserve">Fait</t>
  </si>
  <si>
    <t xml:space="preserve">Chasky (SM)</t>
  </si>
  <si>
    <t xml:space="preserve">CAD-02</t>
  </si>
  <si>
    <t xml:space="preserve">En tant que Product Owner, je veux définir la vision et les objectifs de l'événement afin d'aligner l'équipe.</t>
  </si>
  <si>
    <t xml:space="preserve">Vision en 3 phrases ; 3 objectifs mesurables (nb participants, nb ateliers, satisfaction).</t>
  </si>
  <si>
    <t xml:space="preserve">À faire</t>
  </si>
  <si>
    <t xml:space="preserve">CAD-03</t>
  </si>
  <si>
    <t xml:space="preserve">En tant qu'équipe, je veux obtenir la validation de l'université (responsable du master / administration) afin d'organiser l'événement officiellement.</t>
  </si>
  <si>
    <t xml:space="preserve">Accord écrit reçu ; interlocuteur administratif identifié.</t>
  </si>
  <si>
    <t xml:space="preserve">CAD-04</t>
  </si>
  <si>
    <t xml:space="preserve">En tant qu'équipe, je veux fixer la date et le format (journée / demi-journée) afin de lancer la planification.</t>
  </si>
  <si>
    <t xml:space="preserve">Date validée sans conflit d'examens ; format arrêté.</t>
  </si>
  <si>
    <t xml:space="preserve">CAD-05</t>
  </si>
  <si>
    <t xml:space="preserve">En tant que SM, je veux mettre en place l'outil de suivi (Trello/Jira/Notion) et le canal d'équipe afin de piloter les sprints.</t>
  </si>
  <si>
    <t xml:space="preserve">Board créé avec ce backlog ; canal Discord/WhatsApp actif ; rituels planifiés.</t>
  </si>
  <si>
    <t xml:space="preserve">PART-01</t>
  </si>
  <si>
    <t xml:space="preserve">Partenaires &amp; budget</t>
  </si>
  <si>
    <t xml:space="preserve">En tant que trésorier, je veux établir un budget prévisionnel afin de connaître nos besoins de financement.</t>
  </si>
  <si>
    <t xml:space="preserve">Budget recettes/dépenses ; postes : impression, restauration, lots, matériel.</t>
  </si>
  <si>
    <t xml:space="preserve">PRG-01</t>
  </si>
  <si>
    <t xml:space="preserve">Programme</t>
  </si>
  <si>
    <t xml:space="preserve">En tant que PO, je veux définir le programme horaire de la journée afin de caler ateliers, talks et CTF.</t>
  </si>
  <si>
    <t xml:space="preserve">Planning horaire validé ; pas de chevauchement de salles.</t>
  </si>
  <si>
    <t xml:space="preserve">CONF-01</t>
  </si>
  <si>
    <t xml:space="preserve">Conférences &amp; table ronde</t>
  </si>
  <si>
    <t xml:space="preserve">En tant que pôle programme, je veux lister et contacter des intervenants (pros, chercheurs, anciens OPSIE) afin de remplir les créneaux de conférence.</t>
  </si>
  <si>
    <t xml:space="preserve">Liste de 8+ contacts ; mails envoyés ; relance à J+7.</t>
  </si>
  <si>
    <t xml:space="preserve">CONF-02</t>
  </si>
  <si>
    <t xml:space="preserve">En tant que pôle programme, je veux confirmer les intervenants et leurs sujets afin de publier le programme.</t>
  </si>
  <si>
    <t xml:space="preserve">Confirmation écrite de chaque intervenant ; titre et résumé reçus.</t>
  </si>
  <si>
    <t xml:space="preserve">CONF-03</t>
  </si>
  <si>
    <t xml:space="preserve">En tant qu'animateur, je veux préparer la table ronde (thème métiers/stages, panélistes, questions) afin d'avoir un débat fluide.</t>
  </si>
  <si>
    <t xml:space="preserve">3-4 panélistes ; 10 questions préparées ; modérateur désigné.</t>
  </si>
  <si>
    <t xml:space="preserve">Should</t>
  </si>
  <si>
    <t xml:space="preserve">LOG-01</t>
  </si>
  <si>
    <t xml:space="preserve">Logistique &amp; technique</t>
  </si>
  <si>
    <t xml:space="preserve">En tant que pôle logistique, je veux réserver les salles (amphi + salles TP) afin d'accueillir chaque activité.</t>
  </si>
  <si>
    <t xml:space="preserve">Réservations confirmées par écrit ; capacités adaptées.</t>
  </si>
  <si>
    <t xml:space="preserve">LOG-02</t>
  </si>
  <si>
    <t xml:space="preserve">En tant que pôle technique, je veux vérifier réseau, postes, vidéoprojecteurs et prises afin d'éviter les pannes le jour J.</t>
  </si>
  <si>
    <t xml:space="preserve">Check-list technique signée pour chaque salle ; accès Wi-Fi invités obtenu.</t>
  </si>
  <si>
    <t xml:space="preserve">LOG-03</t>
  </si>
  <si>
    <t xml:space="preserve">En tant que pôle technique, je veux un réseau isolé (VLAN/lab) pour le CTF afin que les attaques restent confinées.</t>
  </si>
  <si>
    <t xml:space="preserve">Environnement isolé validé avec la DSI ; aucune exposition au réseau de l'université.</t>
  </si>
  <si>
    <t xml:space="preserve">CTF-01</t>
  </si>
  <si>
    <t xml:space="preserve">CTF</t>
  </si>
  <si>
    <t xml:space="preserve">En tant que concepteur CTF, je veux définir les catégories et le niveau des challenges afin de convenir aux débutants comme aux confirmés.</t>
  </si>
  <si>
    <t xml:space="preserve">Catégories : web, crypto, forensic, reverse, OSINT ; 3 niveaux de difficulté.</t>
  </si>
  <si>
    <t xml:space="preserve">CTF-02</t>
  </si>
  <si>
    <t xml:space="preserve">En tant que concepteur CTF, je veux créer les challenges et leurs flags afin de disposer d'un CTF complet.</t>
  </si>
  <si>
    <t xml:space="preserve">20+ challenges ; write-up interne pour chacun.</t>
  </si>
  <si>
    <t xml:space="preserve">CTF-03</t>
  </si>
  <si>
    <t xml:space="preserve">En tant que pôle technique, je veux déployer la plateforme (CTFd) avec scoreboard afin de gérer équipes et scores.</t>
  </si>
  <si>
    <t xml:space="preserve">CTFd en ligne sur l'environnement isolé ; comptes de test OK.</t>
  </si>
  <si>
    <t xml:space="preserve">CTF-04</t>
  </si>
  <si>
    <t xml:space="preserve">En tant qu'équipe, je veux faire un bêta-test du CTF afin de corriger bugs et flags cassés.</t>
  </si>
  <si>
    <t xml:space="preserve">Chaque challenge résolu par au moins 1 testeur ; bugs corrigés.</t>
  </si>
  <si>
    <t xml:space="preserve">CTF-05</t>
  </si>
  <si>
    <t xml:space="preserve">En tant que participant, je veux un règlement du CTF clair afin de jouer de façon éthique.</t>
  </si>
  <si>
    <t xml:space="preserve">Règlement publié : périmètre autorisé, interdits, fair-play, sanctions.</t>
  </si>
  <si>
    <t xml:space="preserve">CTF-06</t>
  </si>
  <si>
    <t xml:space="preserve">En tant que gagnant, je veux recevoir un lot afin de récompenser la performance.</t>
  </si>
  <si>
    <t xml:space="preserve">Lots obtenus (sponsors ou budget) ; remise prévue au programme.</t>
  </si>
  <si>
    <t xml:space="preserve">Could</t>
  </si>
  <si>
    <t xml:space="preserve">ATL-01</t>
  </si>
  <si>
    <t xml:space="preserve">Ateliers crypto</t>
  </si>
  <si>
    <t xml:space="preserve">En tant qu'animateur, je veux concevoir les ateliers crypto (chiffrement classique, hachage, RSA, signatures) afin de proposer du concret.</t>
  </si>
  <si>
    <t xml:space="preserve">Déroulé de chaque atelier ; durée ; prérequis participants.</t>
  </si>
  <si>
    <t xml:space="preserve">ATL-02</t>
  </si>
  <si>
    <t xml:space="preserve">En tant qu'animateur, je veux préparer supports et exercices afin que les participants pratiquent.</t>
  </si>
  <si>
    <t xml:space="preserve">Slides + énoncés + corrigés ; testés sur les postes de la salle.</t>
  </si>
  <si>
    <t xml:space="preserve">ATL-03</t>
  </si>
  <si>
    <t xml:space="preserve">En tant qu'animateur, je veux faire une répétition à blanc afin de tenir le timing.</t>
  </si>
  <si>
    <t xml:space="preserve">Répétition réalisée ; timing ajusté.</t>
  </si>
  <si>
    <t xml:space="preserve">COM-01</t>
  </si>
  <si>
    <t xml:space="preserve">Communication</t>
  </si>
  <si>
    <t xml:space="preserve">En tant que pôle com, je veux finaliser le poster officiel afin de lancer la promotion.</t>
  </si>
  <si>
    <t xml:space="preserve">Poster validé (noir/rouge/blanc) ; date, lieu et lien ajoutés ; export PDF A3.</t>
  </si>
  <si>
    <t xml:space="preserve">En cours</t>
  </si>
  <si>
    <t xml:space="preserve">COM-02</t>
  </si>
  <si>
    <t xml:space="preserve">En tant que pôle com, je veux publier sur les réseaux (LinkedIn, Instagram, Discord) afin de toucher les étudiants.</t>
  </si>
  <si>
    <t xml:space="preserve">Plan de posts sur 4 semaines ; 1 post/semaine minimum.</t>
  </si>
  <si>
    <t xml:space="preserve">COM-03</t>
  </si>
  <si>
    <t xml:space="preserve">En tant que pôle com, je veux diffuser l'événement via les mailings de l'université et des masters afin d'élargir l'audience.</t>
  </si>
  <si>
    <t xml:space="preserve">Mail envoyé aux listes étudiantes ; relais demandé aux responsables de formation.</t>
  </si>
  <si>
    <t xml:space="preserve">COM-04</t>
  </si>
  <si>
    <t xml:space="preserve">En tant que pôle com, je veux imprimer et afficher les posters sur le campus afin d'augmenter la visibilité.</t>
  </si>
  <si>
    <t xml:space="preserve">Posters affichés sur les campus concernés ; autorisation d'affichage obtenue.</t>
  </si>
  <si>
    <t xml:space="preserve">COM-05</t>
  </si>
  <si>
    <t xml:space="preserve">En tant que pôle com, je veux publier le programme détaillé afin que les participants choisissent leurs activités.</t>
  </si>
  <si>
    <t xml:space="preserve">Programme en ligne avec horaires, salles et intervenants.</t>
  </si>
  <si>
    <t xml:space="preserve">INS-01</t>
  </si>
  <si>
    <t xml:space="preserve">Inscriptions &amp; participants</t>
  </si>
  <si>
    <t xml:space="preserve">En tant que participant, je veux m'inscrire en ligne afin de réserver ma place.</t>
  </si>
  <si>
    <t xml:space="preserve">Formulaire actif (Google Forms/Framaforms) ; choix des ateliers ; mail de confirmation.</t>
  </si>
  <si>
    <t xml:space="preserve">INS-02</t>
  </si>
  <si>
    <t xml:space="preserve">En tant qu'organisateur, je veux suivre les inscriptions afin d'ajuster les capacités.</t>
  </si>
  <si>
    <t xml:space="preserve">Tableau de suivi ; alerte si salle pleine ; liste d'attente.</t>
  </si>
  <si>
    <t xml:space="preserve">INS-03</t>
  </si>
  <si>
    <t xml:space="preserve">En tant que participant inscrit, je veux recevoir un rappel afin de ne pas oublier l'événement.</t>
  </si>
  <si>
    <t xml:space="preserve">Mail de rappel à J-7 et J-1 avec infos pratiques.</t>
  </si>
  <si>
    <t xml:space="preserve">INS-04</t>
  </si>
  <si>
    <t xml:space="preserve">En tant qu'organisateur, je veux respecter le RGPD sur les données d'inscription afin d'être conforme.</t>
  </si>
  <si>
    <t xml:space="preserve">Mention d'information sur le formulaire ; suppression des données prévue post-event.</t>
  </si>
  <si>
    <t xml:space="preserve">PART-02</t>
  </si>
  <si>
    <t xml:space="preserve">En tant que pôle partenariats, je veux démarcher des sponsors (entreprises cyber, ESN, associations) afin de financer lots et restauration.</t>
  </si>
  <si>
    <t xml:space="preserve">Dossier de sponsoring ; 10+ entreprises contactées.</t>
  </si>
  <si>
    <t xml:space="preserve">PART-03</t>
  </si>
  <si>
    <t xml:space="preserve">En tant que pôle partenariats, je veux formaliser les accords sponsors afin de sécuriser les apports.</t>
  </si>
  <si>
    <t xml:space="preserve">Accords écrits ; logos reçus pour la com.</t>
  </si>
  <si>
    <t xml:space="preserve">LOG-04</t>
  </si>
  <si>
    <t xml:space="preserve">En tant que pôle logistique, je veux organiser la restauration (café, pause, déjeuner) afin d'accueillir les participants.</t>
  </si>
  <si>
    <t xml:space="preserve">Prestataire ou achats validés ; quantités selon inscriptions.</t>
  </si>
  <si>
    <t xml:space="preserve">LOG-05</t>
  </si>
  <si>
    <t xml:space="preserve">En tant que pôle logistique, je veux préparer la signalétique et les badges afin d'orienter les participants.</t>
  </si>
  <si>
    <t xml:space="preserve">Fléchage imprimé ; badges orga/intervenants/participants.</t>
  </si>
  <si>
    <t xml:space="preserve">JJ-01</t>
  </si>
  <si>
    <t xml:space="preserve">En tant que SM, je veux un planning minute par minute du jour J avec les responsables afin que tout le monde sache où être.</t>
  </si>
  <si>
    <t xml:space="preserve">Run-sheet partagée ; un responsable par créneau et par salle.</t>
  </si>
  <si>
    <t xml:space="preserve">JJ-02</t>
  </si>
  <si>
    <t xml:space="preserve">En tant qu'équipe, je veux faire un go/no-go à J-2 afin de valider que tout est prêt.</t>
  </si>
  <si>
    <t xml:space="preserve">Revue de la check-list ; points bloquants traités ou plan B.</t>
  </si>
  <si>
    <t xml:space="preserve">JJ-03</t>
  </si>
  <si>
    <t xml:space="preserve">En tant que participant, je veux être accueilli et orienté afin de trouver rapidement mes activités.</t>
  </si>
  <si>
    <t xml:space="preserve">Stand d'accueil ; pointage des inscrits ; plan des salles.</t>
  </si>
  <si>
    <t xml:space="preserve">JJ-04</t>
  </si>
  <si>
    <t xml:space="preserve">En tant qu'équipe, je veux capter photos/vidéos afin d'alimenter la com post-événement.</t>
  </si>
  <si>
    <t xml:space="preserve">Photographe désigné ; droit à l'image signalé à l'entrée.</t>
  </si>
  <si>
    <t xml:space="preserve">POST-01</t>
  </si>
  <si>
    <t xml:space="preserve">Post-événement</t>
  </si>
  <si>
    <t xml:space="preserve">En tant qu'organisateur, je veux envoyer un questionnaire de satisfaction afin de mesurer la réussite.</t>
  </si>
  <si>
    <t xml:space="preserve">Questionnaire envoyé à J+1 ; taux de réponse suivi.</t>
  </si>
  <si>
    <t xml:space="preserve">POST-02</t>
  </si>
  <si>
    <t xml:space="preserve">En tant que pôle com, je veux remercier intervenants, sponsors et participants afin de préparer les prochaines éditions.</t>
  </si>
  <si>
    <t xml:space="preserve">Mails de remerciement ; post récap avec photos.</t>
  </si>
  <si>
    <t xml:space="preserve">POST-03</t>
  </si>
  <si>
    <t xml:space="preserve">En tant que SM, je veux animer la rétrospective finale et produire un bilan afin de capitaliser pour l'édition suivante.</t>
  </si>
  <si>
    <t xml:space="preserve">Rétro tenue ; bilan chiffré (participants, budget, satisfaction) archivé.</t>
  </si>
  <si>
    <t xml:space="preserve">Vue par Epic</t>
  </si>
  <si>
    <t xml:space="preserve">Calcul automatique depuis le Backlog.</t>
  </si>
  <si>
    <t xml:space="preserve">Points totaux</t>
  </si>
  <si>
    <t xml:space="preserve">Stories bloquées</t>
  </si>
  <si>
    <t xml:space="preserve">Équipe &amp; rôles</t>
  </si>
  <si>
    <t xml:space="preserve">Complète la colonne Nom (cases jaunes).</t>
  </si>
  <si>
    <t xml:space="preserve">Rôle / Pôle</t>
  </si>
  <si>
    <t xml:space="preserve">Nom</t>
  </si>
  <si>
    <t xml:space="preserve">Responsabilités</t>
  </si>
  <si>
    <t xml:space="preserve">Epics portés</t>
  </si>
  <si>
    <t xml:space="preserve">Scrum Master</t>
  </si>
  <si>
    <t xml:space="preserve">Chasky</t>
  </si>
  <si>
    <t xml:space="preserve">Anime les rituels, lève les blocages, suit l'avancement et la run-sheet du jour J</t>
  </si>
  <si>
    <t xml:space="preserve">Cadrage &amp; gouvernance, Jour J, Post-événement</t>
  </si>
  <si>
    <t xml:space="preserve">Product Owner</t>
  </si>
  <si>
    <t xml:space="preserve">Porte la vision, priorise le backlog, valide les livrables (sprint review)</t>
  </si>
  <si>
    <t xml:space="preserve">Cadrage &amp; gouvernance, Programme</t>
  </si>
  <si>
    <t xml:space="preserve">Pôle Programme</t>
  </si>
  <si>
    <t xml:space="preserve">Intervenants, conférences, table ronde</t>
  </si>
  <si>
    <t xml:space="preserve">Programme, Conférences &amp; table ronde</t>
  </si>
  <si>
    <t xml:space="preserve">Pôle CTF</t>
  </si>
  <si>
    <t xml:space="preserve">Conception des challenges, plateforme, bêta-test, règlement</t>
  </si>
  <si>
    <t xml:space="preserve">Pôle Ateliers</t>
  </si>
  <si>
    <t xml:space="preserve">Ateliers crypto : contenus, supports, animation</t>
  </si>
  <si>
    <t xml:space="preserve">Pôle Communication</t>
  </si>
  <si>
    <t xml:space="preserve">Poster, réseaux sociaux, mailings, affichage, photos</t>
  </si>
  <si>
    <t xml:space="preserve">Pôle Logistique &amp; Technique</t>
  </si>
  <si>
    <t xml:space="preserve">Salles, réseau isolé, matériel, restauration, signalétique</t>
  </si>
  <si>
    <t xml:space="preserve">Pôle Partenariats &amp; Budget</t>
  </si>
  <si>
    <t xml:space="preserve">Sponsors, budget, lots</t>
  </si>
  <si>
    <t xml:space="preserve">Pôle Inscriptions</t>
  </si>
  <si>
    <t xml:space="preserve">Formulaire, suivi, rappels, RGPD, accueil</t>
  </si>
  <si>
    <t xml:space="preserve">Rituels Scrum adaptés à l'équipe</t>
  </si>
  <si>
    <t xml:space="preserve">Format léger compatible avec les cours : daily asynchrone, cérémonies en visio ou après 17h.</t>
  </si>
  <si>
    <t xml:space="preserve">Cérémonie</t>
  </si>
  <si>
    <t xml:space="preserve">Fréquence</t>
  </si>
  <si>
    <t xml:space="preserve">Durée</t>
  </si>
  <si>
    <t xml:space="preserve">Participants</t>
  </si>
  <si>
    <t xml:space="preserve">Objectif / format</t>
  </si>
  <si>
    <t xml:space="preserve">Sprint Planning</t>
  </si>
  <si>
    <t xml:space="preserve">Début de chaque sprint</t>
  </si>
  <si>
    <t xml:space="preserve">45 min</t>
  </si>
  <si>
    <t xml:space="preserve">Toute l'équipe</t>
  </si>
  <si>
    <t xml:space="preserve">Choisir les stories du sprint, fixer l'objectif, répartir les responsables</t>
  </si>
  <si>
    <t xml:space="preserve">Daily (asynchrone)</t>
  </si>
  <si>
    <t xml:space="preserve">Chaque jour ouvré</t>
  </si>
  <si>
    <t xml:space="preserve">5 min</t>
  </si>
  <si>
    <t xml:space="preserve">Message sur le canal : fait hier / prévu aujourd'hui / blocages</t>
  </si>
  <si>
    <t xml:space="preserve">Point hebdo</t>
  </si>
  <si>
    <t xml:space="preserve">1 fois par semaine</t>
  </si>
  <si>
    <t xml:space="preserve">20 min</t>
  </si>
  <si>
    <t xml:space="preserve">Synchro rapide en visio, traitement des blocages</t>
  </si>
  <si>
    <t xml:space="preserve">Sprint Review</t>
  </si>
  <si>
    <t xml:space="preserve">Fin de chaque sprint</t>
  </si>
  <si>
    <t xml:space="preserve">30 min</t>
  </si>
  <si>
    <t xml:space="preserve">Équipe + PO (+ responsable du master si besoin)</t>
  </si>
  <si>
    <t xml:space="preserve">Montrer ce qui est fini (poster, CTF, programme…) et récolter les retours</t>
  </si>
  <si>
    <t xml:space="preserve">Rétrospective</t>
  </si>
  <si>
    <t xml:space="preserve">Ce qui marche / ce qui coince / 1 à 2 actions d'amélioration</t>
  </si>
  <si>
    <t xml:space="preserve">Backlog Refinement</t>
  </si>
  <si>
    <t xml:space="preserve">Milieu de sprint</t>
  </si>
  <si>
    <t xml:space="preserve">PO + SM + référents de pôle</t>
  </si>
  <si>
    <t xml:space="preserve">Affiner et estimer les stories du sprint suivant</t>
  </si>
  <si>
    <t xml:space="preserve">Go / No-Go</t>
  </si>
  <si>
    <t xml:space="preserve">J-2</t>
  </si>
  <si>
    <t xml:space="preserve">Revue finale de la check-list, activation des plans B</t>
  </si>
  <si>
    <t xml:space="preserve">Rétro finale</t>
  </si>
  <si>
    <t xml:space="preserve">J+7</t>
  </si>
  <si>
    <t xml:space="preserve">1 h</t>
  </si>
  <si>
    <t xml:space="preserve">Bilan global et recommandations pour la prochaine édition</t>
  </si>
  <si>
    <t xml:space="preserve">Registre des risques</t>
  </si>
  <si>
    <t xml:space="preserve">Probabilité et impact : Faible / Moyen / Élevé. Revoir à chaque rétrospective.</t>
  </si>
  <si>
    <t xml:space="preserve">Risque</t>
  </si>
  <si>
    <t xml:space="preserve">Probabilité</t>
  </si>
  <si>
    <t xml:space="preserve">Impact</t>
  </si>
  <si>
    <t xml:space="preserve">Plan de mitigation</t>
  </si>
  <si>
    <t xml:space="preserve">Pas de validation de l'université ou délais administratifs</t>
  </si>
  <si>
    <t xml:space="preserve">Moyen</t>
  </si>
  <si>
    <t xml:space="preserve">Élevé</t>
  </si>
  <si>
    <t xml:space="preserve">Demander l'accord dès le Sprint 0 ; passer par le responsable du master</t>
  </si>
  <si>
    <t xml:space="preserve">Intervenants qui se désistent</t>
  </si>
  <si>
    <t xml:space="preserve">Garder 2 intervenants de réserve ; prévoir un talk interne de secours</t>
  </si>
  <si>
    <t xml:space="preserve">Faible nombre d'inscrits</t>
  </si>
  <si>
    <t xml:space="preserve">Com étalée sur 4 semaines ; relais par les responsables de formation ; rappels</t>
  </si>
  <si>
    <t xml:space="preserve">Panne réseau / plateforme CTF</t>
  </si>
  <si>
    <t xml:space="preserve">Faible</t>
  </si>
  <si>
    <t xml:space="preserve">Environnement testé en amont ; version hors-ligne des challenges ; technicien dédié</t>
  </si>
  <si>
    <t xml:space="preserve">Attaques qui débordent du périmètre CTF</t>
  </si>
  <si>
    <t xml:space="preserve">Réseau isolé validé avec la DSI ; règlement signé ; surveillance pendant l'épreuve</t>
  </si>
  <si>
    <t xml:space="preserve">Budget insuffisant</t>
  </si>
  <si>
    <t xml:space="preserve">Sponsors dès le Sprint 1 ; lister les dépenses non essentielles à couper</t>
  </si>
  <si>
    <t xml:space="preserve">Équipe surchargée par les cours et examens</t>
  </si>
  <si>
    <t xml:space="preserve">Sprints réalistes, daily asynchrone, marge de 2 semaines avant J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</si>
</sst>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1D2E"/>
        <bgColor rgb="FF993366"/>
      </patternFill>
    </fill>
    <fill>
      <patternFill patternType="solid">
        <fgColor rgb="FF0A0A0A"/>
        <bgColor rgb="FF000000"/>
      </patternFill>
    </fill>
    <fill>
      <patternFill patternType="solid">
        <fgColor rgb="FFFFF4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A0A0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11D2E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FFFFFF"/>
      </font>
      <fill>
        <patternFill>
          <bgColor rgb="FFE11D2E"/>
        </patternFill>
      </fill>
    </dxf>
    <dxf>
      <font>
        <b val="1"/>
        <color rgb="FFE11D2E"/>
      </font>
    </dxf>
    <dxf>
      <fill>
        <patternFill>
          <bgColor rgb="FFFFEB9C"/>
        </patternFill>
      </fill>
    </dxf>
  </dxfs>
  <colors>
    <indexedColors>
      <rgbColor rgb="FF000000"/>
      <rgbColor rgb="FFFFFFFF"/>
      <rgbColor rgb="FFE11D2E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A0A0A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5" hidden="false" customHeight="false" outlineLevel="0" collapsed="false">
      <c r="A4" s="4" t="s">
        <v>9</v>
      </c>
      <c r="B4" s="5" t="s">
        <v>10</v>
      </c>
      <c r="C4" s="5" t="s">
        <v>11</v>
      </c>
      <c r="D4" s="5" t="n">
        <f aca="false">COUNTIF(Backlog!$G$4:$G$200,A4)</f>
        <v>6</v>
      </c>
      <c r="E4" s="5" t="n">
        <f aca="false">SUMIFS(Backlog!$F$4:$F$200,Backlog!$G$4:$G$200,A4)</f>
        <v>13</v>
      </c>
      <c r="F4" s="5" t="n">
        <f aca="false">SUMIFS(Backlog!$F$4:$F$200,Backlog!$G$4:$G$200,A4,Backlog!$H$4:$H$200,"Fait")</f>
        <v>2</v>
      </c>
      <c r="G4" s="6" t="n">
        <f aca="false">IF(E4=0,0,F4/E4)</f>
        <v>0.153846153846154</v>
      </c>
    </row>
    <row r="5" customFormat="false" ht="15" hidden="false" customHeight="false" outlineLevel="0" collapsed="false">
      <c r="A5" s="4" t="s">
        <v>12</v>
      </c>
      <c r="B5" s="5" t="s">
        <v>13</v>
      </c>
      <c r="C5" s="5" t="s">
        <v>14</v>
      </c>
      <c r="D5" s="5" t="n">
        <f aca="false">COUNTIF(Backlog!$G$4:$G$200,A5)</f>
        <v>5</v>
      </c>
      <c r="E5" s="5" t="n">
        <f aca="false">SUMIFS(Backlog!$F$4:$F$200,Backlog!$G$4:$G$200,A5)</f>
        <v>18</v>
      </c>
      <c r="F5" s="5" t="n">
        <f aca="false">SUMIFS(Backlog!$F$4:$F$200,Backlog!$G$4:$G$200,A5,Backlog!$H$4:$H$200,"Fait")</f>
        <v>0</v>
      </c>
      <c r="G5" s="6" t="n">
        <f aca="false">IF(E5=0,0,F5/E5)</f>
        <v>0</v>
      </c>
    </row>
    <row r="6" customFormat="false" ht="15" hidden="false" customHeight="false" outlineLevel="0" collapsed="false">
      <c r="A6" s="4" t="s">
        <v>15</v>
      </c>
      <c r="B6" s="5" t="s">
        <v>16</v>
      </c>
      <c r="C6" s="5" t="s">
        <v>17</v>
      </c>
      <c r="D6" s="5" t="n">
        <f aca="false">COUNTIF(Backlog!$G$4:$G$200,A6)</f>
        <v>10</v>
      </c>
      <c r="E6" s="5" t="n">
        <f aca="false">SUMIFS(Backlog!$F$4:$F$200,Backlog!$G$4:$G$200,A6)</f>
        <v>42</v>
      </c>
      <c r="F6" s="5" t="n">
        <f aca="false">SUMIFS(Backlog!$F$4:$F$200,Backlog!$G$4:$G$200,A6,Backlog!$H$4:$H$200,"Fait")</f>
        <v>0</v>
      </c>
      <c r="G6" s="6" t="n">
        <f aca="false">IF(E6=0,0,F6/E6)</f>
        <v>0</v>
      </c>
    </row>
    <row r="7" customFormat="false" ht="15" hidden="false" customHeight="false" outlineLevel="0" collapsed="false">
      <c r="A7" s="4" t="s">
        <v>18</v>
      </c>
      <c r="B7" s="5" t="s">
        <v>19</v>
      </c>
      <c r="C7" s="5" t="s">
        <v>20</v>
      </c>
      <c r="D7" s="5" t="n">
        <f aca="false">COUNTIF(Backlog!$G$4:$G$200,A7)</f>
        <v>11</v>
      </c>
      <c r="E7" s="5" t="n">
        <f aca="false">SUMIFS(Backlog!$F$4:$F$200,Backlog!$G$4:$G$200,A7)</f>
        <v>31</v>
      </c>
      <c r="F7" s="5" t="n">
        <f aca="false">SUMIFS(Backlog!$F$4:$F$200,Backlog!$G$4:$G$200,A7,Backlog!$H$4:$H$200,"Fait")</f>
        <v>0</v>
      </c>
      <c r="G7" s="6" t="n">
        <f aca="false">IF(E7=0,0,F7/E7)</f>
        <v>0</v>
      </c>
    </row>
    <row r="8" customFormat="false" ht="15" hidden="false" customHeight="false" outlineLevel="0" collapsed="false">
      <c r="A8" s="4" t="s">
        <v>21</v>
      </c>
      <c r="B8" s="5" t="s">
        <v>22</v>
      </c>
      <c r="C8" s="5" t="s">
        <v>23</v>
      </c>
      <c r="D8" s="5" t="n">
        <f aca="false">COUNTIF(Backlog!$G$4:$G$200,A8)</f>
        <v>5</v>
      </c>
      <c r="E8" s="5" t="n">
        <f aca="false">SUMIFS(Backlog!$F$4:$F$200,Backlog!$G$4:$G$200,A8)</f>
        <v>9</v>
      </c>
      <c r="F8" s="5" t="n">
        <f aca="false">SUMIFS(Backlog!$F$4:$F$200,Backlog!$G$4:$G$200,A8,Backlog!$H$4:$H$200,"Fait")</f>
        <v>0</v>
      </c>
      <c r="G8" s="6" t="n">
        <f aca="false">IF(E8=0,0,F8/E8)</f>
        <v>0</v>
      </c>
    </row>
    <row r="9" customFormat="false" ht="15" hidden="false" customHeight="false" outlineLevel="0" collapsed="false">
      <c r="A9" s="4" t="s">
        <v>24</v>
      </c>
      <c r="B9" s="5" t="s">
        <v>25</v>
      </c>
      <c r="C9" s="5" t="s">
        <v>26</v>
      </c>
      <c r="D9" s="5" t="n">
        <f aca="false">COUNTIF(Backlog!$G$4:$G$200,A9)</f>
        <v>2</v>
      </c>
      <c r="E9" s="5" t="n">
        <f aca="false">SUMIFS(Backlog!$F$4:$F$200,Backlog!$G$4:$G$200,A9)</f>
        <v>4</v>
      </c>
      <c r="F9" s="5" t="n">
        <f aca="false">SUMIFS(Backlog!$F$4:$F$200,Backlog!$G$4:$G$200,A9,Backlog!$H$4:$H$200,"Fait")</f>
        <v>0</v>
      </c>
      <c r="G9" s="6" t="n">
        <f aca="false">IF(E9=0,0,F9/E9)</f>
        <v>0</v>
      </c>
    </row>
    <row r="10" customFormat="false" ht="15" hidden="false" customHeight="false" outlineLevel="0" collapsed="false">
      <c r="A10" s="4" t="s">
        <v>27</v>
      </c>
      <c r="B10" s="5" t="s">
        <v>28</v>
      </c>
      <c r="C10" s="5" t="s">
        <v>29</v>
      </c>
      <c r="D10" s="5" t="n">
        <f aca="false">COUNTIF(Backlog!$G$4:$G$200,A10)</f>
        <v>3</v>
      </c>
      <c r="E10" s="5" t="n">
        <f aca="false">SUMIFS(Backlog!$F$4:$F$200,Backlog!$G$4:$G$200,A10)</f>
        <v>4</v>
      </c>
      <c r="F10" s="5" t="n">
        <f aca="false">SUMIFS(Backlog!$F$4:$F$200,Backlog!$G$4:$G$200,A10,Backlog!$H$4:$H$200,"Fait")</f>
        <v>0</v>
      </c>
      <c r="G10" s="6" t="n">
        <f aca="false">IF(E10=0,0,F10/E10)</f>
        <v>0</v>
      </c>
    </row>
    <row r="11" customFormat="false" ht="15" hidden="false" customHeight="false" outlineLevel="0" collapsed="false">
      <c r="A11" s="7" t="s">
        <v>30</v>
      </c>
      <c r="B11" s="7"/>
      <c r="C11" s="7"/>
      <c r="D11" s="7" t="n">
        <f aca="false">SUM(D4:D10)</f>
        <v>42</v>
      </c>
      <c r="E11" s="7" t="n">
        <f aca="false">SUM(E4:E10)</f>
        <v>121</v>
      </c>
      <c r="F11" s="7" t="n">
        <f aca="false">SUM(F4:F10)</f>
        <v>2</v>
      </c>
      <c r="G11" s="8" t="n">
        <f aca="false">IF(E11=0,0,F11/E11)</f>
        <v>0.0165289256198347</v>
      </c>
    </row>
  </sheetData>
  <mergeCells count="2">
    <mergeCell ref="A1:G1"/>
    <mergeCell ref="A2:G2"/>
  </mergeCells>
  <conditionalFormatting sqref="G4:G10">
    <cfRule type="dataBar" priority="2">
      <dataBar showValue="1" minLength="10" maxLength="90">
        <cfvo type="num" val="0"/>
        <cfvo type="num" val="1"/>
        <color rgb="FFE11D2E"/>
      </dataBar>
      <extLst>
        <ext xmlns:x14="http://schemas.microsoft.com/office/spreadsheetml/2009/9/main" uri="{B025F937-C7B1-47D3-B67F-A62EFF666E3E}">
          <x14:id>{89F07CFB-ADBB-498D-95EF-42F0FB9FFCEF}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F07CFB-ADBB-498D-95EF-42F0FB9FFCE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11D2E"/>
              <x14:axisColor rgb="FF000000"/>
            </x14:dataBar>
          </x14:cfRule>
          <xm:sqref>G4:G10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32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2</v>
      </c>
      <c r="H3" s="3" t="s">
        <v>39</v>
      </c>
      <c r="I3" s="3" t="s">
        <v>40</v>
      </c>
    </row>
    <row r="4" customFormat="false" ht="23.85" hidden="false" customHeight="false" outlineLevel="0" collapsed="false">
      <c r="A4" s="9" t="s">
        <v>41</v>
      </c>
      <c r="B4" s="5" t="s">
        <v>42</v>
      </c>
      <c r="C4" s="5" t="s">
        <v>43</v>
      </c>
      <c r="D4" s="5" t="s">
        <v>44</v>
      </c>
      <c r="E4" s="9" t="s">
        <v>45</v>
      </c>
      <c r="F4" s="9" t="n">
        <v>2</v>
      </c>
      <c r="G4" s="10" t="s">
        <v>9</v>
      </c>
      <c r="H4" s="10" t="s">
        <v>46</v>
      </c>
      <c r="I4" s="11" t="s">
        <v>47</v>
      </c>
    </row>
    <row r="5" customFormat="false" ht="23.85" hidden="false" customHeight="false" outlineLevel="0" collapsed="false">
      <c r="A5" s="9" t="s">
        <v>48</v>
      </c>
      <c r="B5" s="5" t="s">
        <v>42</v>
      </c>
      <c r="C5" s="5" t="s">
        <v>49</v>
      </c>
      <c r="D5" s="5" t="s">
        <v>50</v>
      </c>
      <c r="E5" s="9" t="s">
        <v>45</v>
      </c>
      <c r="F5" s="9" t="n">
        <v>2</v>
      </c>
      <c r="G5" s="10" t="s">
        <v>9</v>
      </c>
      <c r="H5" s="10" t="s">
        <v>51</v>
      </c>
      <c r="I5" s="11"/>
    </row>
    <row r="6" customFormat="false" ht="23.85" hidden="false" customHeight="false" outlineLevel="0" collapsed="false">
      <c r="A6" s="9" t="s">
        <v>52</v>
      </c>
      <c r="B6" s="5" t="s">
        <v>42</v>
      </c>
      <c r="C6" s="5" t="s">
        <v>53</v>
      </c>
      <c r="D6" s="5" t="s">
        <v>54</v>
      </c>
      <c r="E6" s="9" t="s">
        <v>45</v>
      </c>
      <c r="F6" s="9" t="n">
        <v>3</v>
      </c>
      <c r="G6" s="10" t="s">
        <v>9</v>
      </c>
      <c r="H6" s="10" t="s">
        <v>51</v>
      </c>
      <c r="I6" s="11"/>
    </row>
    <row r="7" customFormat="false" ht="23.85" hidden="false" customHeight="false" outlineLevel="0" collapsed="false">
      <c r="A7" s="9" t="s">
        <v>55</v>
      </c>
      <c r="B7" s="5" t="s">
        <v>42</v>
      </c>
      <c r="C7" s="5" t="s">
        <v>56</v>
      </c>
      <c r="D7" s="5" t="s">
        <v>57</v>
      </c>
      <c r="E7" s="9" t="s">
        <v>45</v>
      </c>
      <c r="F7" s="9" t="n">
        <v>2</v>
      </c>
      <c r="G7" s="10" t="s">
        <v>9</v>
      </c>
      <c r="H7" s="10" t="s">
        <v>51</v>
      </c>
      <c r="I7" s="11"/>
    </row>
    <row r="8" customFormat="false" ht="23.85" hidden="false" customHeight="false" outlineLevel="0" collapsed="false">
      <c r="A8" s="9" t="s">
        <v>58</v>
      </c>
      <c r="B8" s="5" t="s">
        <v>42</v>
      </c>
      <c r="C8" s="5" t="s">
        <v>59</v>
      </c>
      <c r="D8" s="5" t="s">
        <v>60</v>
      </c>
      <c r="E8" s="9" t="s">
        <v>45</v>
      </c>
      <c r="F8" s="9" t="n">
        <v>1</v>
      </c>
      <c r="G8" s="10" t="s">
        <v>9</v>
      </c>
      <c r="H8" s="10" t="s">
        <v>51</v>
      </c>
      <c r="I8" s="11" t="s">
        <v>47</v>
      </c>
    </row>
    <row r="9" customFormat="false" ht="23.85" hidden="false" customHeight="false" outlineLevel="0" collapsed="false">
      <c r="A9" s="9" t="s">
        <v>61</v>
      </c>
      <c r="B9" s="5" t="s">
        <v>62</v>
      </c>
      <c r="C9" s="5" t="s">
        <v>63</v>
      </c>
      <c r="D9" s="5" t="s">
        <v>64</v>
      </c>
      <c r="E9" s="9" t="s">
        <v>45</v>
      </c>
      <c r="F9" s="9" t="n">
        <v>3</v>
      </c>
      <c r="G9" s="10" t="s">
        <v>9</v>
      </c>
      <c r="H9" s="10" t="s">
        <v>51</v>
      </c>
      <c r="I9" s="11"/>
    </row>
    <row r="10" customFormat="false" ht="23.85" hidden="false" customHeight="false" outlineLevel="0" collapsed="false">
      <c r="A10" s="9" t="s">
        <v>65</v>
      </c>
      <c r="B10" s="5" t="s">
        <v>66</v>
      </c>
      <c r="C10" s="5" t="s">
        <v>67</v>
      </c>
      <c r="D10" s="5" t="s">
        <v>68</v>
      </c>
      <c r="E10" s="9" t="s">
        <v>45</v>
      </c>
      <c r="F10" s="9" t="n">
        <v>3</v>
      </c>
      <c r="G10" s="10" t="s">
        <v>12</v>
      </c>
      <c r="H10" s="10" t="s">
        <v>51</v>
      </c>
      <c r="I10" s="11"/>
    </row>
    <row r="11" customFormat="false" ht="35.05" hidden="false" customHeight="false" outlineLevel="0" collapsed="false">
      <c r="A11" s="9" t="s">
        <v>69</v>
      </c>
      <c r="B11" s="5" t="s">
        <v>70</v>
      </c>
      <c r="C11" s="5" t="s">
        <v>71</v>
      </c>
      <c r="D11" s="5" t="s">
        <v>72</v>
      </c>
      <c r="E11" s="9" t="s">
        <v>45</v>
      </c>
      <c r="F11" s="9" t="n">
        <v>5</v>
      </c>
      <c r="G11" s="10" t="s">
        <v>12</v>
      </c>
      <c r="H11" s="10" t="s">
        <v>51</v>
      </c>
      <c r="I11" s="11"/>
    </row>
    <row r="12" customFormat="false" ht="23.85" hidden="false" customHeight="false" outlineLevel="0" collapsed="false">
      <c r="A12" s="9" t="s">
        <v>73</v>
      </c>
      <c r="B12" s="5" t="s">
        <v>70</v>
      </c>
      <c r="C12" s="5" t="s">
        <v>74</v>
      </c>
      <c r="D12" s="5" t="s">
        <v>75</v>
      </c>
      <c r="E12" s="9" t="s">
        <v>45</v>
      </c>
      <c r="F12" s="9" t="n">
        <v>3</v>
      </c>
      <c r="G12" s="10" t="s">
        <v>15</v>
      </c>
      <c r="H12" s="10" t="s">
        <v>51</v>
      </c>
      <c r="I12" s="11"/>
    </row>
    <row r="13" customFormat="false" ht="23.85" hidden="false" customHeight="false" outlineLevel="0" collapsed="false">
      <c r="A13" s="9" t="s">
        <v>76</v>
      </c>
      <c r="B13" s="5" t="s">
        <v>70</v>
      </c>
      <c r="C13" s="5" t="s">
        <v>77</v>
      </c>
      <c r="D13" s="5" t="s">
        <v>78</v>
      </c>
      <c r="E13" s="9" t="s">
        <v>79</v>
      </c>
      <c r="F13" s="9" t="n">
        <v>3</v>
      </c>
      <c r="G13" s="10" t="s">
        <v>18</v>
      </c>
      <c r="H13" s="10" t="s">
        <v>51</v>
      </c>
      <c r="I13" s="11"/>
    </row>
    <row r="14" customFormat="false" ht="23.85" hidden="false" customHeight="false" outlineLevel="0" collapsed="false">
      <c r="A14" s="9" t="s">
        <v>80</v>
      </c>
      <c r="B14" s="5" t="s">
        <v>81</v>
      </c>
      <c r="C14" s="5" t="s">
        <v>82</v>
      </c>
      <c r="D14" s="5" t="s">
        <v>83</v>
      </c>
      <c r="E14" s="9" t="s">
        <v>45</v>
      </c>
      <c r="F14" s="9" t="n">
        <v>3</v>
      </c>
      <c r="G14" s="10" t="s">
        <v>12</v>
      </c>
      <c r="H14" s="10" t="s">
        <v>51</v>
      </c>
      <c r="I14" s="11"/>
    </row>
    <row r="15" customFormat="false" ht="23.85" hidden="false" customHeight="false" outlineLevel="0" collapsed="false">
      <c r="A15" s="9" t="s">
        <v>84</v>
      </c>
      <c r="B15" s="5" t="s">
        <v>81</v>
      </c>
      <c r="C15" s="5" t="s">
        <v>85</v>
      </c>
      <c r="D15" s="5" t="s">
        <v>86</v>
      </c>
      <c r="E15" s="9" t="s">
        <v>45</v>
      </c>
      <c r="F15" s="9" t="n">
        <v>3</v>
      </c>
      <c r="G15" s="10" t="s">
        <v>18</v>
      </c>
      <c r="H15" s="10" t="s">
        <v>51</v>
      </c>
      <c r="I15" s="11"/>
    </row>
    <row r="16" customFormat="false" ht="23.85" hidden="false" customHeight="false" outlineLevel="0" collapsed="false">
      <c r="A16" s="9" t="s">
        <v>87</v>
      </c>
      <c r="B16" s="5" t="s">
        <v>81</v>
      </c>
      <c r="C16" s="5" t="s">
        <v>88</v>
      </c>
      <c r="D16" s="5" t="s">
        <v>89</v>
      </c>
      <c r="E16" s="9" t="s">
        <v>45</v>
      </c>
      <c r="F16" s="9" t="n">
        <v>5</v>
      </c>
      <c r="G16" s="10" t="s">
        <v>15</v>
      </c>
      <c r="H16" s="10" t="s">
        <v>51</v>
      </c>
      <c r="I16" s="11"/>
    </row>
    <row r="17" customFormat="false" ht="23.85" hidden="false" customHeight="false" outlineLevel="0" collapsed="false">
      <c r="A17" s="9" t="s">
        <v>90</v>
      </c>
      <c r="B17" s="5" t="s">
        <v>91</v>
      </c>
      <c r="C17" s="5" t="s">
        <v>92</v>
      </c>
      <c r="D17" s="5" t="s">
        <v>93</v>
      </c>
      <c r="E17" s="9" t="s">
        <v>45</v>
      </c>
      <c r="F17" s="9" t="n">
        <v>2</v>
      </c>
      <c r="G17" s="10" t="s">
        <v>12</v>
      </c>
      <c r="H17" s="10" t="s">
        <v>51</v>
      </c>
      <c r="I17" s="11"/>
    </row>
    <row r="18" customFormat="false" ht="23.85" hidden="false" customHeight="false" outlineLevel="0" collapsed="false">
      <c r="A18" s="9" t="s">
        <v>94</v>
      </c>
      <c r="B18" s="5" t="s">
        <v>91</v>
      </c>
      <c r="C18" s="5" t="s">
        <v>95</v>
      </c>
      <c r="D18" s="5" t="s">
        <v>96</v>
      </c>
      <c r="E18" s="9" t="s">
        <v>45</v>
      </c>
      <c r="F18" s="9" t="n">
        <v>13</v>
      </c>
      <c r="G18" s="10" t="s">
        <v>15</v>
      </c>
      <c r="H18" s="10" t="s">
        <v>51</v>
      </c>
      <c r="I18" s="11"/>
    </row>
    <row r="19" customFormat="false" ht="23.85" hidden="false" customHeight="false" outlineLevel="0" collapsed="false">
      <c r="A19" s="9" t="s">
        <v>97</v>
      </c>
      <c r="B19" s="5" t="s">
        <v>91</v>
      </c>
      <c r="C19" s="5" t="s">
        <v>98</v>
      </c>
      <c r="D19" s="5" t="s">
        <v>99</v>
      </c>
      <c r="E19" s="9" t="s">
        <v>45</v>
      </c>
      <c r="F19" s="9" t="n">
        <v>5</v>
      </c>
      <c r="G19" s="10" t="s">
        <v>15</v>
      </c>
      <c r="H19" s="10" t="s">
        <v>51</v>
      </c>
      <c r="I19" s="11"/>
    </row>
    <row r="20" customFormat="false" ht="23.85" hidden="false" customHeight="false" outlineLevel="0" collapsed="false">
      <c r="A20" s="9" t="s">
        <v>100</v>
      </c>
      <c r="B20" s="5" t="s">
        <v>91</v>
      </c>
      <c r="C20" s="5" t="s">
        <v>101</v>
      </c>
      <c r="D20" s="5" t="s">
        <v>102</v>
      </c>
      <c r="E20" s="9" t="s">
        <v>45</v>
      </c>
      <c r="F20" s="9" t="n">
        <v>5</v>
      </c>
      <c r="G20" s="10" t="s">
        <v>18</v>
      </c>
      <c r="H20" s="10" t="s">
        <v>51</v>
      </c>
      <c r="I20" s="11"/>
    </row>
    <row r="21" customFormat="false" ht="23.85" hidden="false" customHeight="false" outlineLevel="0" collapsed="false">
      <c r="A21" s="9" t="s">
        <v>103</v>
      </c>
      <c r="B21" s="5" t="s">
        <v>91</v>
      </c>
      <c r="C21" s="5" t="s">
        <v>104</v>
      </c>
      <c r="D21" s="5" t="s">
        <v>105</v>
      </c>
      <c r="E21" s="9" t="s">
        <v>45</v>
      </c>
      <c r="F21" s="9" t="n">
        <v>1</v>
      </c>
      <c r="G21" s="10" t="s">
        <v>18</v>
      </c>
      <c r="H21" s="10" t="s">
        <v>51</v>
      </c>
      <c r="I21" s="11"/>
    </row>
    <row r="22" customFormat="false" ht="23.85" hidden="false" customHeight="false" outlineLevel="0" collapsed="false">
      <c r="A22" s="9" t="s">
        <v>106</v>
      </c>
      <c r="B22" s="5" t="s">
        <v>91</v>
      </c>
      <c r="C22" s="5" t="s">
        <v>107</v>
      </c>
      <c r="D22" s="5" t="s">
        <v>108</v>
      </c>
      <c r="E22" s="9" t="s">
        <v>109</v>
      </c>
      <c r="F22" s="9" t="n">
        <v>2</v>
      </c>
      <c r="G22" s="10" t="s">
        <v>18</v>
      </c>
      <c r="H22" s="10" t="s">
        <v>51</v>
      </c>
      <c r="I22" s="11"/>
    </row>
    <row r="23" customFormat="false" ht="23.85" hidden="false" customHeight="false" outlineLevel="0" collapsed="false">
      <c r="A23" s="9" t="s">
        <v>110</v>
      </c>
      <c r="B23" s="5" t="s">
        <v>111</v>
      </c>
      <c r="C23" s="5" t="s">
        <v>112</v>
      </c>
      <c r="D23" s="5" t="s">
        <v>113</v>
      </c>
      <c r="E23" s="9" t="s">
        <v>45</v>
      </c>
      <c r="F23" s="9" t="n">
        <v>5</v>
      </c>
      <c r="G23" s="10" t="s">
        <v>15</v>
      </c>
      <c r="H23" s="10" t="s">
        <v>51</v>
      </c>
      <c r="I23" s="11"/>
    </row>
    <row r="24" customFormat="false" ht="23.85" hidden="false" customHeight="false" outlineLevel="0" collapsed="false">
      <c r="A24" s="9" t="s">
        <v>114</v>
      </c>
      <c r="B24" s="5" t="s">
        <v>111</v>
      </c>
      <c r="C24" s="5" t="s">
        <v>115</v>
      </c>
      <c r="D24" s="5" t="s">
        <v>116</v>
      </c>
      <c r="E24" s="9" t="s">
        <v>45</v>
      </c>
      <c r="F24" s="9" t="n">
        <v>5</v>
      </c>
      <c r="G24" s="10" t="s">
        <v>18</v>
      </c>
      <c r="H24" s="10" t="s">
        <v>51</v>
      </c>
      <c r="I24" s="11"/>
    </row>
    <row r="25" customFormat="false" ht="23.85" hidden="false" customHeight="false" outlineLevel="0" collapsed="false">
      <c r="A25" s="9" t="s">
        <v>117</v>
      </c>
      <c r="B25" s="5" t="s">
        <v>111</v>
      </c>
      <c r="C25" s="5" t="s">
        <v>118</v>
      </c>
      <c r="D25" s="5" t="s">
        <v>119</v>
      </c>
      <c r="E25" s="9" t="s">
        <v>79</v>
      </c>
      <c r="F25" s="9" t="n">
        <v>2</v>
      </c>
      <c r="G25" s="10" t="s">
        <v>21</v>
      </c>
      <c r="H25" s="10" t="s">
        <v>51</v>
      </c>
      <c r="I25" s="11"/>
    </row>
    <row r="26" customFormat="false" ht="23.85" hidden="false" customHeight="false" outlineLevel="0" collapsed="false">
      <c r="A26" s="9" t="s">
        <v>120</v>
      </c>
      <c r="B26" s="5" t="s">
        <v>121</v>
      </c>
      <c r="C26" s="5" t="s">
        <v>122</v>
      </c>
      <c r="D26" s="5" t="s">
        <v>123</v>
      </c>
      <c r="E26" s="9" t="s">
        <v>45</v>
      </c>
      <c r="F26" s="9" t="n">
        <v>2</v>
      </c>
      <c r="G26" s="10" t="s">
        <v>15</v>
      </c>
      <c r="H26" s="10" t="s">
        <v>124</v>
      </c>
      <c r="I26" s="11"/>
    </row>
    <row r="27" customFormat="false" ht="23.85" hidden="false" customHeight="false" outlineLevel="0" collapsed="false">
      <c r="A27" s="9" t="s">
        <v>125</v>
      </c>
      <c r="B27" s="5" t="s">
        <v>121</v>
      </c>
      <c r="C27" s="5" t="s">
        <v>126</v>
      </c>
      <c r="D27" s="5" t="s">
        <v>127</v>
      </c>
      <c r="E27" s="9" t="s">
        <v>45</v>
      </c>
      <c r="F27" s="9" t="n">
        <v>3</v>
      </c>
      <c r="G27" s="10" t="s">
        <v>15</v>
      </c>
      <c r="H27" s="10" t="s">
        <v>51</v>
      </c>
      <c r="I27" s="11"/>
    </row>
    <row r="28" customFormat="false" ht="23.85" hidden="false" customHeight="false" outlineLevel="0" collapsed="false">
      <c r="A28" s="9" t="s">
        <v>128</v>
      </c>
      <c r="B28" s="5" t="s">
        <v>121</v>
      </c>
      <c r="C28" s="5" t="s">
        <v>129</v>
      </c>
      <c r="D28" s="5" t="s">
        <v>130</v>
      </c>
      <c r="E28" s="9" t="s">
        <v>45</v>
      </c>
      <c r="F28" s="9" t="n">
        <v>2</v>
      </c>
      <c r="G28" s="10" t="s">
        <v>15</v>
      </c>
      <c r="H28" s="10" t="s">
        <v>51</v>
      </c>
      <c r="I28" s="11"/>
    </row>
    <row r="29" customFormat="false" ht="23.85" hidden="false" customHeight="false" outlineLevel="0" collapsed="false">
      <c r="A29" s="9" t="s">
        <v>131</v>
      </c>
      <c r="B29" s="5" t="s">
        <v>121</v>
      </c>
      <c r="C29" s="5" t="s">
        <v>132</v>
      </c>
      <c r="D29" s="5" t="s">
        <v>133</v>
      </c>
      <c r="E29" s="9" t="s">
        <v>79</v>
      </c>
      <c r="F29" s="9" t="n">
        <v>2</v>
      </c>
      <c r="G29" s="10" t="s">
        <v>18</v>
      </c>
      <c r="H29" s="10" t="s">
        <v>51</v>
      </c>
      <c r="I29" s="11"/>
    </row>
    <row r="30" customFormat="false" ht="23.85" hidden="false" customHeight="false" outlineLevel="0" collapsed="false">
      <c r="A30" s="9" t="s">
        <v>134</v>
      </c>
      <c r="B30" s="5" t="s">
        <v>121</v>
      </c>
      <c r="C30" s="5" t="s">
        <v>135</v>
      </c>
      <c r="D30" s="5" t="s">
        <v>136</v>
      </c>
      <c r="E30" s="9" t="s">
        <v>45</v>
      </c>
      <c r="F30" s="9" t="n">
        <v>2</v>
      </c>
      <c r="G30" s="10" t="s">
        <v>18</v>
      </c>
      <c r="H30" s="10" t="s">
        <v>51</v>
      </c>
      <c r="I30" s="11"/>
    </row>
    <row r="31" customFormat="false" ht="23.85" hidden="false" customHeight="false" outlineLevel="0" collapsed="false">
      <c r="A31" s="9" t="s">
        <v>137</v>
      </c>
      <c r="B31" s="5" t="s">
        <v>138</v>
      </c>
      <c r="C31" s="5" t="s">
        <v>139</v>
      </c>
      <c r="D31" s="5" t="s">
        <v>140</v>
      </c>
      <c r="E31" s="9" t="s">
        <v>45</v>
      </c>
      <c r="F31" s="9" t="n">
        <v>3</v>
      </c>
      <c r="G31" s="10" t="s">
        <v>15</v>
      </c>
      <c r="H31" s="10" t="s">
        <v>51</v>
      </c>
      <c r="I31" s="11"/>
    </row>
    <row r="32" customFormat="false" ht="23.85" hidden="false" customHeight="false" outlineLevel="0" collapsed="false">
      <c r="A32" s="9" t="s">
        <v>141</v>
      </c>
      <c r="B32" s="5" t="s">
        <v>138</v>
      </c>
      <c r="C32" s="5" t="s">
        <v>142</v>
      </c>
      <c r="D32" s="5" t="s">
        <v>143</v>
      </c>
      <c r="E32" s="9" t="s">
        <v>79</v>
      </c>
      <c r="F32" s="9" t="n">
        <v>2</v>
      </c>
      <c r="G32" s="10" t="s">
        <v>18</v>
      </c>
      <c r="H32" s="10" t="s">
        <v>51</v>
      </c>
      <c r="I32" s="11"/>
    </row>
    <row r="33" customFormat="false" ht="23.85" hidden="false" customHeight="false" outlineLevel="0" collapsed="false">
      <c r="A33" s="9" t="s">
        <v>144</v>
      </c>
      <c r="B33" s="5" t="s">
        <v>138</v>
      </c>
      <c r="C33" s="5" t="s">
        <v>145</v>
      </c>
      <c r="D33" s="5" t="s">
        <v>146</v>
      </c>
      <c r="E33" s="9" t="s">
        <v>79</v>
      </c>
      <c r="F33" s="9" t="n">
        <v>1</v>
      </c>
      <c r="G33" s="10" t="s">
        <v>21</v>
      </c>
      <c r="H33" s="10" t="s">
        <v>51</v>
      </c>
      <c r="I33" s="11"/>
    </row>
    <row r="34" customFormat="false" ht="23.85" hidden="false" customHeight="false" outlineLevel="0" collapsed="false">
      <c r="A34" s="9" t="s">
        <v>147</v>
      </c>
      <c r="B34" s="5" t="s">
        <v>138</v>
      </c>
      <c r="C34" s="5" t="s">
        <v>148</v>
      </c>
      <c r="D34" s="5" t="s">
        <v>149</v>
      </c>
      <c r="E34" s="9" t="s">
        <v>45</v>
      </c>
      <c r="F34" s="9" t="n">
        <v>1</v>
      </c>
      <c r="G34" s="10" t="s">
        <v>15</v>
      </c>
      <c r="H34" s="10" t="s">
        <v>51</v>
      </c>
      <c r="I34" s="11"/>
    </row>
    <row r="35" customFormat="false" ht="23.85" hidden="false" customHeight="false" outlineLevel="0" collapsed="false">
      <c r="A35" s="9" t="s">
        <v>150</v>
      </c>
      <c r="B35" s="5" t="s">
        <v>62</v>
      </c>
      <c r="C35" s="5" t="s">
        <v>151</v>
      </c>
      <c r="D35" s="5" t="s">
        <v>152</v>
      </c>
      <c r="E35" s="9" t="s">
        <v>79</v>
      </c>
      <c r="F35" s="9" t="n">
        <v>5</v>
      </c>
      <c r="G35" s="10" t="s">
        <v>12</v>
      </c>
      <c r="H35" s="10" t="s">
        <v>51</v>
      </c>
      <c r="I35" s="11"/>
    </row>
    <row r="36" customFormat="false" ht="23.85" hidden="false" customHeight="false" outlineLevel="0" collapsed="false">
      <c r="A36" s="9" t="s">
        <v>153</v>
      </c>
      <c r="B36" s="5" t="s">
        <v>62</v>
      </c>
      <c r="C36" s="5" t="s">
        <v>154</v>
      </c>
      <c r="D36" s="5" t="s">
        <v>155</v>
      </c>
      <c r="E36" s="9" t="s">
        <v>79</v>
      </c>
      <c r="F36" s="9" t="n">
        <v>3</v>
      </c>
      <c r="G36" s="10" t="s">
        <v>18</v>
      </c>
      <c r="H36" s="10" t="s">
        <v>51</v>
      </c>
      <c r="I36" s="11"/>
    </row>
    <row r="37" customFormat="false" ht="23.85" hidden="false" customHeight="false" outlineLevel="0" collapsed="false">
      <c r="A37" s="9" t="s">
        <v>156</v>
      </c>
      <c r="B37" s="5" t="s">
        <v>81</v>
      </c>
      <c r="C37" s="5" t="s">
        <v>157</v>
      </c>
      <c r="D37" s="5" t="s">
        <v>158</v>
      </c>
      <c r="E37" s="9" t="s">
        <v>79</v>
      </c>
      <c r="F37" s="9" t="n">
        <v>3</v>
      </c>
      <c r="G37" s="10" t="s">
        <v>18</v>
      </c>
      <c r="H37" s="10" t="s">
        <v>51</v>
      </c>
      <c r="I37" s="11"/>
    </row>
    <row r="38" customFormat="false" ht="23.85" hidden="false" customHeight="false" outlineLevel="0" collapsed="false">
      <c r="A38" s="9" t="s">
        <v>159</v>
      </c>
      <c r="B38" s="5" t="s">
        <v>81</v>
      </c>
      <c r="C38" s="5" t="s">
        <v>160</v>
      </c>
      <c r="D38" s="5" t="s">
        <v>161</v>
      </c>
      <c r="E38" s="9" t="s">
        <v>109</v>
      </c>
      <c r="F38" s="9" t="n">
        <v>2</v>
      </c>
      <c r="G38" s="10" t="s">
        <v>21</v>
      </c>
      <c r="H38" s="10" t="s">
        <v>51</v>
      </c>
      <c r="I38" s="11"/>
    </row>
    <row r="39" customFormat="false" ht="23.85" hidden="false" customHeight="false" outlineLevel="0" collapsed="false">
      <c r="A39" s="9" t="s">
        <v>162</v>
      </c>
      <c r="B39" s="5" t="s">
        <v>24</v>
      </c>
      <c r="C39" s="5" t="s">
        <v>163</v>
      </c>
      <c r="D39" s="5" t="s">
        <v>164</v>
      </c>
      <c r="E39" s="9" t="s">
        <v>45</v>
      </c>
      <c r="F39" s="9" t="n">
        <v>3</v>
      </c>
      <c r="G39" s="10" t="s">
        <v>21</v>
      </c>
      <c r="H39" s="10" t="s">
        <v>51</v>
      </c>
      <c r="I39" s="11" t="s">
        <v>47</v>
      </c>
    </row>
    <row r="40" customFormat="false" ht="23.85" hidden="false" customHeight="false" outlineLevel="0" collapsed="false">
      <c r="A40" s="9" t="s">
        <v>165</v>
      </c>
      <c r="B40" s="5" t="s">
        <v>24</v>
      </c>
      <c r="C40" s="5" t="s">
        <v>166</v>
      </c>
      <c r="D40" s="5" t="s">
        <v>167</v>
      </c>
      <c r="E40" s="9" t="s">
        <v>45</v>
      </c>
      <c r="F40" s="9" t="n">
        <v>1</v>
      </c>
      <c r="G40" s="10" t="s">
        <v>21</v>
      </c>
      <c r="H40" s="10" t="s">
        <v>51</v>
      </c>
      <c r="I40" s="11" t="s">
        <v>47</v>
      </c>
    </row>
    <row r="41" customFormat="false" ht="23.85" hidden="false" customHeight="false" outlineLevel="0" collapsed="false">
      <c r="A41" s="9" t="s">
        <v>168</v>
      </c>
      <c r="B41" s="5" t="s">
        <v>24</v>
      </c>
      <c r="C41" s="5" t="s">
        <v>169</v>
      </c>
      <c r="D41" s="5" t="s">
        <v>170</v>
      </c>
      <c r="E41" s="9" t="s">
        <v>45</v>
      </c>
      <c r="F41" s="9" t="n">
        <v>2</v>
      </c>
      <c r="G41" s="10" t="s">
        <v>24</v>
      </c>
      <c r="H41" s="10" t="s">
        <v>51</v>
      </c>
      <c r="I41" s="11"/>
    </row>
    <row r="42" customFormat="false" ht="23.85" hidden="false" customHeight="false" outlineLevel="0" collapsed="false">
      <c r="A42" s="9" t="s">
        <v>171</v>
      </c>
      <c r="B42" s="5" t="s">
        <v>24</v>
      </c>
      <c r="C42" s="5" t="s">
        <v>172</v>
      </c>
      <c r="D42" s="5" t="s">
        <v>173</v>
      </c>
      <c r="E42" s="9" t="s">
        <v>109</v>
      </c>
      <c r="F42" s="9" t="n">
        <v>2</v>
      </c>
      <c r="G42" s="10" t="s">
        <v>24</v>
      </c>
      <c r="H42" s="10" t="s">
        <v>51</v>
      </c>
      <c r="I42" s="11"/>
    </row>
    <row r="43" customFormat="false" ht="23.85" hidden="false" customHeight="false" outlineLevel="0" collapsed="false">
      <c r="A43" s="9" t="s">
        <v>174</v>
      </c>
      <c r="B43" s="5" t="s">
        <v>175</v>
      </c>
      <c r="C43" s="5" t="s">
        <v>176</v>
      </c>
      <c r="D43" s="5" t="s">
        <v>177</v>
      </c>
      <c r="E43" s="9" t="s">
        <v>79</v>
      </c>
      <c r="F43" s="9" t="n">
        <v>1</v>
      </c>
      <c r="G43" s="10" t="s">
        <v>27</v>
      </c>
      <c r="H43" s="10" t="s">
        <v>51</v>
      </c>
      <c r="I43" s="11"/>
    </row>
    <row r="44" customFormat="false" ht="23.85" hidden="false" customHeight="false" outlineLevel="0" collapsed="false">
      <c r="A44" s="9" t="s">
        <v>178</v>
      </c>
      <c r="B44" s="5" t="s">
        <v>175</v>
      </c>
      <c r="C44" s="5" t="s">
        <v>179</v>
      </c>
      <c r="D44" s="5" t="s">
        <v>180</v>
      </c>
      <c r="E44" s="9" t="s">
        <v>79</v>
      </c>
      <c r="F44" s="9" t="n">
        <v>1</v>
      </c>
      <c r="G44" s="10" t="s">
        <v>27</v>
      </c>
      <c r="H44" s="10" t="s">
        <v>51</v>
      </c>
      <c r="I44" s="11"/>
    </row>
    <row r="45" customFormat="false" ht="23.85" hidden="false" customHeight="false" outlineLevel="0" collapsed="false">
      <c r="A45" s="9" t="s">
        <v>181</v>
      </c>
      <c r="B45" s="5" t="s">
        <v>175</v>
      </c>
      <c r="C45" s="5" t="s">
        <v>182</v>
      </c>
      <c r="D45" s="5" t="s">
        <v>183</v>
      </c>
      <c r="E45" s="9" t="s">
        <v>45</v>
      </c>
      <c r="F45" s="9" t="n">
        <v>2</v>
      </c>
      <c r="G45" s="10" t="s">
        <v>27</v>
      </c>
      <c r="H45" s="10" t="s">
        <v>51</v>
      </c>
      <c r="I45" s="11" t="s">
        <v>47</v>
      </c>
    </row>
  </sheetData>
  <autoFilter ref="A3:I45"/>
  <mergeCells count="2">
    <mergeCell ref="A1:I1"/>
    <mergeCell ref="A2:I2"/>
  </mergeCells>
  <conditionalFormatting sqref="H4:H200">
    <cfRule type="cellIs" priority="2" operator="equal" aboveAverage="0" equalAverage="0" bottom="0" percent="0" rank="0" text="" dxfId="9">
      <formula>"Fait"</formula>
    </cfRule>
    <cfRule type="cellIs" priority="3" operator="equal" aboveAverage="0" equalAverage="0" bottom="0" percent="0" rank="0" text="" dxfId="10">
      <formula>"En cours"</formula>
    </cfRule>
    <cfRule type="cellIs" priority="4" operator="equal" aboveAverage="0" equalAverage="0" bottom="0" percent="0" rank="0" text="" dxfId="11">
      <formula>"Bloqué"</formula>
    </cfRule>
  </conditionalFormatting>
  <conditionalFormatting sqref="E4:E200">
    <cfRule type="cellIs" priority="5" operator="equal" aboveAverage="0" equalAverage="0" bottom="0" percent="0" rank="0" text="" dxfId="12">
      <formula>"Must"</formula>
    </cfRule>
  </conditionalFormatting>
  <dataValidations count="4">
    <dataValidation allowBlank="true" errorStyle="stop" operator="between" showDropDown="false" showErrorMessage="false" showInputMessage="false" sqref="H4:H200" type="list">
      <formula1>"À faire,En cours,Bloqué,Fait"</formula1>
      <formula2>0</formula2>
    </dataValidation>
    <dataValidation allowBlank="true" errorStyle="stop" operator="between" showDropDown="false" showErrorMessage="false" showInputMessage="false" sqref="E4:E200" type="list">
      <formula1>"Must,Should,Could,Won't"</formula1>
      <formula2>0</formula2>
    </dataValidation>
    <dataValidation allowBlank="true" errorStyle="stop" operator="between" showDropDown="false" showErrorMessage="false" showInputMessage="false" sqref="G4:G200" type="list">
      <formula1>"Sprint 0,Sprint 1,Sprint 2,Sprint 3,Sprint 4,Jour J,Post-event"</formula1>
      <formula2>0</formula2>
    </dataValidation>
    <dataValidation allowBlank="true" errorStyle="stop" operator="between" showDropDown="false" showErrorMessage="false" showInputMessage="false" sqref="F4:F200" type="list">
      <formula1>"1,2,3,5,8,13"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1" t="s">
        <v>184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185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34</v>
      </c>
      <c r="B3" s="3" t="s">
        <v>5</v>
      </c>
      <c r="C3" s="3" t="s">
        <v>186</v>
      </c>
      <c r="D3" s="3" t="s">
        <v>7</v>
      </c>
      <c r="E3" s="3" t="s">
        <v>8</v>
      </c>
      <c r="F3" s="3" t="s">
        <v>187</v>
      </c>
    </row>
    <row r="4" customFormat="false" ht="15" hidden="false" customHeight="false" outlineLevel="0" collapsed="false">
      <c r="A4" s="12" t="s">
        <v>42</v>
      </c>
      <c r="B4" s="13" t="n">
        <f aca="false">COUNTIF(Backlog!$B$4:$B$200,A4)</f>
        <v>5</v>
      </c>
      <c r="C4" s="13" t="n">
        <f aca="false">SUMIFS(Backlog!$F$4:$F$200,Backlog!$B$4:$B$200,A4)</f>
        <v>10</v>
      </c>
      <c r="D4" s="13" t="n">
        <f aca="false">SUMIFS(Backlog!$F$4:$F$200,Backlog!$B$4:$B$200,A4,Backlog!$H$4:$H$200,"Fait")</f>
        <v>2</v>
      </c>
      <c r="E4" s="14" t="n">
        <f aca="false">IF(C4=0,0,D4/C4)</f>
        <v>0.2</v>
      </c>
      <c r="F4" s="13" t="n">
        <f aca="false">COUNTIFS(Backlog!$B$4:$B$200,A4,Backlog!$H$4:$H$200,"Bloqué")</f>
        <v>0</v>
      </c>
    </row>
    <row r="5" customFormat="false" ht="15" hidden="false" customHeight="false" outlineLevel="0" collapsed="false">
      <c r="A5" s="12" t="s">
        <v>66</v>
      </c>
      <c r="B5" s="13" t="n">
        <f aca="false">COUNTIF(Backlog!$B$4:$B$200,A5)</f>
        <v>1</v>
      </c>
      <c r="C5" s="13" t="n">
        <f aca="false">SUMIFS(Backlog!$F$4:$F$200,Backlog!$B$4:$B$200,A5)</f>
        <v>3</v>
      </c>
      <c r="D5" s="13" t="n">
        <f aca="false">SUMIFS(Backlog!$F$4:$F$200,Backlog!$B$4:$B$200,A5,Backlog!$H$4:$H$200,"Fait")</f>
        <v>0</v>
      </c>
      <c r="E5" s="14" t="n">
        <f aca="false">IF(C5=0,0,D5/C5)</f>
        <v>0</v>
      </c>
      <c r="F5" s="13" t="n">
        <f aca="false">COUNTIFS(Backlog!$B$4:$B$200,A5,Backlog!$H$4:$H$200,"Bloqué")</f>
        <v>0</v>
      </c>
    </row>
    <row r="6" customFormat="false" ht="15" hidden="false" customHeight="false" outlineLevel="0" collapsed="false">
      <c r="A6" s="12" t="s">
        <v>91</v>
      </c>
      <c r="B6" s="13" t="n">
        <f aca="false">COUNTIF(Backlog!$B$4:$B$200,A6)</f>
        <v>6</v>
      </c>
      <c r="C6" s="13" t="n">
        <f aca="false">SUMIFS(Backlog!$F$4:$F$200,Backlog!$B$4:$B$200,A6)</f>
        <v>28</v>
      </c>
      <c r="D6" s="13" t="n">
        <f aca="false">SUMIFS(Backlog!$F$4:$F$200,Backlog!$B$4:$B$200,A6,Backlog!$H$4:$H$200,"Fait")</f>
        <v>0</v>
      </c>
      <c r="E6" s="14" t="n">
        <f aca="false">IF(C6=0,0,D6/C6)</f>
        <v>0</v>
      </c>
      <c r="F6" s="13" t="n">
        <f aca="false">COUNTIFS(Backlog!$B$4:$B$200,A6,Backlog!$H$4:$H$200,"Bloqué")</f>
        <v>0</v>
      </c>
    </row>
    <row r="7" customFormat="false" ht="15" hidden="false" customHeight="false" outlineLevel="0" collapsed="false">
      <c r="A7" s="12" t="s">
        <v>111</v>
      </c>
      <c r="B7" s="13" t="n">
        <f aca="false">COUNTIF(Backlog!$B$4:$B$200,A7)</f>
        <v>3</v>
      </c>
      <c r="C7" s="13" t="n">
        <f aca="false">SUMIFS(Backlog!$F$4:$F$200,Backlog!$B$4:$B$200,A7)</f>
        <v>12</v>
      </c>
      <c r="D7" s="13" t="n">
        <f aca="false">SUMIFS(Backlog!$F$4:$F$200,Backlog!$B$4:$B$200,A7,Backlog!$H$4:$H$200,"Fait")</f>
        <v>0</v>
      </c>
      <c r="E7" s="14" t="n">
        <f aca="false">IF(C7=0,0,D7/C7)</f>
        <v>0</v>
      </c>
      <c r="F7" s="13" t="n">
        <f aca="false">COUNTIFS(Backlog!$B$4:$B$200,A7,Backlog!$H$4:$H$200,"Bloqué")</f>
        <v>0</v>
      </c>
    </row>
    <row r="8" customFormat="false" ht="15" hidden="false" customHeight="false" outlineLevel="0" collapsed="false">
      <c r="A8" s="12" t="s">
        <v>70</v>
      </c>
      <c r="B8" s="13" t="n">
        <f aca="false">COUNTIF(Backlog!$B$4:$B$200,A8)</f>
        <v>3</v>
      </c>
      <c r="C8" s="13" t="n">
        <f aca="false">SUMIFS(Backlog!$F$4:$F$200,Backlog!$B$4:$B$200,A8)</f>
        <v>11</v>
      </c>
      <c r="D8" s="13" t="n">
        <f aca="false">SUMIFS(Backlog!$F$4:$F$200,Backlog!$B$4:$B$200,A8,Backlog!$H$4:$H$200,"Fait")</f>
        <v>0</v>
      </c>
      <c r="E8" s="14" t="n">
        <f aca="false">IF(C8=0,0,D8/C8)</f>
        <v>0</v>
      </c>
      <c r="F8" s="13" t="n">
        <f aca="false">COUNTIFS(Backlog!$B$4:$B$200,A8,Backlog!$H$4:$H$200,"Bloqué")</f>
        <v>0</v>
      </c>
    </row>
    <row r="9" customFormat="false" ht="15" hidden="false" customHeight="false" outlineLevel="0" collapsed="false">
      <c r="A9" s="12" t="s">
        <v>121</v>
      </c>
      <c r="B9" s="13" t="n">
        <f aca="false">COUNTIF(Backlog!$B$4:$B$200,A9)</f>
        <v>5</v>
      </c>
      <c r="C9" s="13" t="n">
        <f aca="false">SUMIFS(Backlog!$F$4:$F$200,Backlog!$B$4:$B$200,A9)</f>
        <v>11</v>
      </c>
      <c r="D9" s="13" t="n">
        <f aca="false">SUMIFS(Backlog!$F$4:$F$200,Backlog!$B$4:$B$200,A9,Backlog!$H$4:$H$200,"Fait")</f>
        <v>0</v>
      </c>
      <c r="E9" s="14" t="n">
        <f aca="false">IF(C9=0,0,D9/C9)</f>
        <v>0</v>
      </c>
      <c r="F9" s="13" t="n">
        <f aca="false">COUNTIFS(Backlog!$B$4:$B$200,A9,Backlog!$H$4:$H$200,"Bloqué")</f>
        <v>0</v>
      </c>
    </row>
    <row r="10" customFormat="false" ht="15" hidden="false" customHeight="false" outlineLevel="0" collapsed="false">
      <c r="A10" s="12" t="s">
        <v>81</v>
      </c>
      <c r="B10" s="13" t="n">
        <f aca="false">COUNTIF(Backlog!$B$4:$B$200,A10)</f>
        <v>5</v>
      </c>
      <c r="C10" s="13" t="n">
        <f aca="false">SUMIFS(Backlog!$F$4:$F$200,Backlog!$B$4:$B$200,A10)</f>
        <v>16</v>
      </c>
      <c r="D10" s="13" t="n">
        <f aca="false">SUMIFS(Backlog!$F$4:$F$200,Backlog!$B$4:$B$200,A10,Backlog!$H$4:$H$200,"Fait")</f>
        <v>0</v>
      </c>
      <c r="E10" s="14" t="n">
        <f aca="false">IF(C10=0,0,D10/C10)</f>
        <v>0</v>
      </c>
      <c r="F10" s="13" t="n">
        <f aca="false">COUNTIFS(Backlog!$B$4:$B$200,A10,Backlog!$H$4:$H$200,"Bloqué")</f>
        <v>0</v>
      </c>
    </row>
    <row r="11" customFormat="false" ht="15" hidden="false" customHeight="false" outlineLevel="0" collapsed="false">
      <c r="A11" s="12" t="s">
        <v>62</v>
      </c>
      <c r="B11" s="13" t="n">
        <f aca="false">COUNTIF(Backlog!$B$4:$B$200,A11)</f>
        <v>3</v>
      </c>
      <c r="C11" s="13" t="n">
        <f aca="false">SUMIFS(Backlog!$F$4:$F$200,Backlog!$B$4:$B$200,A11)</f>
        <v>11</v>
      </c>
      <c r="D11" s="13" t="n">
        <f aca="false">SUMIFS(Backlog!$F$4:$F$200,Backlog!$B$4:$B$200,A11,Backlog!$H$4:$H$200,"Fait")</f>
        <v>0</v>
      </c>
      <c r="E11" s="14" t="n">
        <f aca="false">IF(C11=0,0,D11/C11)</f>
        <v>0</v>
      </c>
      <c r="F11" s="13" t="n">
        <f aca="false">COUNTIFS(Backlog!$B$4:$B$200,A11,Backlog!$H$4:$H$200,"Bloqué")</f>
        <v>0</v>
      </c>
    </row>
    <row r="12" customFormat="false" ht="15" hidden="false" customHeight="false" outlineLevel="0" collapsed="false">
      <c r="A12" s="12" t="s">
        <v>138</v>
      </c>
      <c r="B12" s="13" t="n">
        <f aca="false">COUNTIF(Backlog!$B$4:$B$200,A12)</f>
        <v>4</v>
      </c>
      <c r="C12" s="13" t="n">
        <f aca="false">SUMIFS(Backlog!$F$4:$F$200,Backlog!$B$4:$B$200,A12)</f>
        <v>7</v>
      </c>
      <c r="D12" s="13" t="n">
        <f aca="false">SUMIFS(Backlog!$F$4:$F$200,Backlog!$B$4:$B$200,A12,Backlog!$H$4:$H$200,"Fait")</f>
        <v>0</v>
      </c>
      <c r="E12" s="14" t="n">
        <f aca="false">IF(C12=0,0,D12/C12)</f>
        <v>0</v>
      </c>
      <c r="F12" s="13" t="n">
        <f aca="false">COUNTIFS(Backlog!$B$4:$B$200,A12,Backlog!$H$4:$H$200,"Bloqué")</f>
        <v>0</v>
      </c>
    </row>
    <row r="13" customFormat="false" ht="15" hidden="false" customHeight="false" outlineLevel="0" collapsed="false">
      <c r="A13" s="12" t="s">
        <v>24</v>
      </c>
      <c r="B13" s="13" t="n">
        <f aca="false">COUNTIF(Backlog!$B$4:$B$200,A13)</f>
        <v>4</v>
      </c>
      <c r="C13" s="13" t="n">
        <f aca="false">SUMIFS(Backlog!$F$4:$F$200,Backlog!$B$4:$B$200,A13)</f>
        <v>8</v>
      </c>
      <c r="D13" s="13" t="n">
        <f aca="false">SUMIFS(Backlog!$F$4:$F$200,Backlog!$B$4:$B$200,A13,Backlog!$H$4:$H$200,"Fait")</f>
        <v>0</v>
      </c>
      <c r="E13" s="14" t="n">
        <f aca="false">IF(C13=0,0,D13/C13)</f>
        <v>0</v>
      </c>
      <c r="F13" s="13" t="n">
        <f aca="false">COUNTIFS(Backlog!$B$4:$B$200,A13,Backlog!$H$4:$H$200,"Bloqué")</f>
        <v>0</v>
      </c>
    </row>
    <row r="14" customFormat="false" ht="15" hidden="false" customHeight="false" outlineLevel="0" collapsed="false">
      <c r="A14" s="12" t="s">
        <v>175</v>
      </c>
      <c r="B14" s="13" t="n">
        <f aca="false">COUNTIF(Backlog!$B$4:$B$200,A14)</f>
        <v>3</v>
      </c>
      <c r="C14" s="13" t="n">
        <f aca="false">SUMIFS(Backlog!$F$4:$F$200,Backlog!$B$4:$B$200,A14)</f>
        <v>4</v>
      </c>
      <c r="D14" s="13" t="n">
        <f aca="false">SUMIFS(Backlog!$F$4:$F$200,Backlog!$B$4:$B$200,A14,Backlog!$H$4:$H$200,"Fait")</f>
        <v>0</v>
      </c>
      <c r="E14" s="14" t="n">
        <f aca="false">IF(C14=0,0,D14/C14)</f>
        <v>0</v>
      </c>
      <c r="F14" s="13" t="n">
        <f aca="false">COUNTIFS(Backlog!$B$4:$B$200,A14,Backlog!$H$4:$H$200,"Bloqué")</f>
        <v>0</v>
      </c>
    </row>
  </sheetData>
  <mergeCells count="2">
    <mergeCell ref="A1:F1"/>
    <mergeCell ref="A2:F2"/>
  </mergeCells>
  <conditionalFormatting sqref="E4:E14">
    <cfRule type="dataBar" priority="2">
      <dataBar showValue="1" minLength="10" maxLength="90">
        <cfvo type="num" val="0"/>
        <cfvo type="num" val="1"/>
        <color rgb="FFE11D2E"/>
      </dataBar>
      <extLst>
        <ext xmlns:x14="http://schemas.microsoft.com/office/spreadsheetml/2009/9/main" uri="{B025F937-C7B1-47D3-B67F-A62EFF666E3E}">
          <x14:id>{DF8E27FF-E060-4313-81C4-E02222DEE0E6}</x14:id>
        </ext>
      </extLst>
    </cfRule>
  </conditionalFormatting>
  <conditionalFormatting sqref="F4:F14">
    <cfRule type="cellIs" priority="3" operator="greater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8E27FF-E060-4313-81C4-E02222DEE0E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11D2E"/>
              <x14:axisColor rgb="FF000000"/>
            </x14:dataBar>
          </x14:cfRule>
          <xm:sqref>E4:E14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31.5" hidden="false" customHeight="true" outlineLevel="0" collapsed="false">
      <c r="A1" s="1" t="s">
        <v>188</v>
      </c>
      <c r="B1" s="1"/>
      <c r="C1" s="1"/>
      <c r="D1" s="1"/>
    </row>
    <row r="2" customFormat="false" ht="30" hidden="false" customHeight="true" outlineLevel="0" collapsed="false">
      <c r="A2" s="2" t="s">
        <v>189</v>
      </c>
      <c r="B2" s="2"/>
      <c r="C2" s="2"/>
      <c r="D2" s="2"/>
    </row>
    <row r="3" customFormat="false" ht="30" hidden="false" customHeight="true" outlineLevel="0" collapsed="false">
      <c r="A3" s="3" t="s">
        <v>190</v>
      </c>
      <c r="B3" s="3" t="s">
        <v>191</v>
      </c>
      <c r="C3" s="3" t="s">
        <v>192</v>
      </c>
      <c r="D3" s="3" t="s">
        <v>193</v>
      </c>
    </row>
    <row r="4" customFormat="false" ht="23.85" hidden="false" customHeight="false" outlineLevel="0" collapsed="false">
      <c r="A4" s="4" t="s">
        <v>194</v>
      </c>
      <c r="B4" s="11" t="s">
        <v>195</v>
      </c>
      <c r="C4" s="5" t="s">
        <v>196</v>
      </c>
      <c r="D4" s="5" t="s">
        <v>197</v>
      </c>
    </row>
    <row r="5" customFormat="false" ht="15" hidden="false" customHeight="false" outlineLevel="0" collapsed="false">
      <c r="A5" s="4" t="s">
        <v>198</v>
      </c>
      <c r="B5" s="11"/>
      <c r="C5" s="5" t="s">
        <v>199</v>
      </c>
      <c r="D5" s="5" t="s">
        <v>200</v>
      </c>
    </row>
    <row r="6" customFormat="false" ht="15" hidden="false" customHeight="false" outlineLevel="0" collapsed="false">
      <c r="A6" s="4" t="s">
        <v>201</v>
      </c>
      <c r="B6" s="11"/>
      <c r="C6" s="5" t="s">
        <v>202</v>
      </c>
      <c r="D6" s="5" t="s">
        <v>203</v>
      </c>
    </row>
    <row r="7" customFormat="false" ht="15" hidden="false" customHeight="false" outlineLevel="0" collapsed="false">
      <c r="A7" s="4" t="s">
        <v>204</v>
      </c>
      <c r="B7" s="11"/>
      <c r="C7" s="5" t="s">
        <v>205</v>
      </c>
      <c r="D7" s="5" t="s">
        <v>91</v>
      </c>
    </row>
    <row r="8" customFormat="false" ht="15" hidden="false" customHeight="false" outlineLevel="0" collapsed="false">
      <c r="A8" s="4" t="s">
        <v>206</v>
      </c>
      <c r="B8" s="11"/>
      <c r="C8" s="5" t="s">
        <v>207</v>
      </c>
      <c r="D8" s="5" t="s">
        <v>111</v>
      </c>
    </row>
    <row r="9" customFormat="false" ht="15" hidden="false" customHeight="false" outlineLevel="0" collapsed="false">
      <c r="A9" s="4" t="s">
        <v>208</v>
      </c>
      <c r="B9" s="11"/>
      <c r="C9" s="5" t="s">
        <v>209</v>
      </c>
      <c r="D9" s="5" t="s">
        <v>121</v>
      </c>
    </row>
    <row r="10" customFormat="false" ht="15" hidden="false" customHeight="false" outlineLevel="0" collapsed="false">
      <c r="A10" s="4" t="s">
        <v>210</v>
      </c>
      <c r="B10" s="11"/>
      <c r="C10" s="5" t="s">
        <v>211</v>
      </c>
      <c r="D10" s="5" t="s">
        <v>81</v>
      </c>
    </row>
    <row r="11" customFormat="false" ht="15" hidden="false" customHeight="false" outlineLevel="0" collapsed="false">
      <c r="A11" s="4" t="s">
        <v>212</v>
      </c>
      <c r="B11" s="11"/>
      <c r="C11" s="5" t="s">
        <v>213</v>
      </c>
      <c r="D11" s="5" t="s">
        <v>62</v>
      </c>
    </row>
    <row r="12" customFormat="false" ht="15" hidden="false" customHeight="false" outlineLevel="0" collapsed="false">
      <c r="A12" s="4" t="s">
        <v>214</v>
      </c>
      <c r="B12" s="11"/>
      <c r="C12" s="5" t="s">
        <v>215</v>
      </c>
      <c r="D12" s="5" t="s">
        <v>138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62"/>
  </cols>
  <sheetData>
    <row r="1" customFormat="false" ht="31.5" hidden="false" customHeight="true" outlineLevel="0" collapsed="false">
      <c r="A1" s="1" t="s">
        <v>216</v>
      </c>
      <c r="B1" s="1"/>
      <c r="C1" s="1"/>
      <c r="D1" s="1"/>
      <c r="E1" s="1"/>
    </row>
    <row r="2" customFormat="false" ht="30" hidden="false" customHeight="true" outlineLevel="0" collapsed="false">
      <c r="A2" s="2" t="s">
        <v>217</v>
      </c>
      <c r="B2" s="2"/>
      <c r="C2" s="2"/>
      <c r="D2" s="2"/>
      <c r="E2" s="2"/>
    </row>
    <row r="3" customFormat="false" ht="30" hidden="false" customHeight="true" outlineLevel="0" collapsed="false">
      <c r="A3" s="3" t="s">
        <v>218</v>
      </c>
      <c r="B3" s="3" t="s">
        <v>219</v>
      </c>
      <c r="C3" s="3" t="s">
        <v>220</v>
      </c>
      <c r="D3" s="3" t="s">
        <v>221</v>
      </c>
      <c r="E3" s="3" t="s">
        <v>222</v>
      </c>
    </row>
    <row r="4" customFormat="false" ht="15" hidden="false" customHeight="false" outlineLevel="0" collapsed="false">
      <c r="A4" s="4" t="s">
        <v>223</v>
      </c>
      <c r="B4" s="5" t="s">
        <v>224</v>
      </c>
      <c r="C4" s="5" t="s">
        <v>225</v>
      </c>
      <c r="D4" s="5" t="s">
        <v>226</v>
      </c>
      <c r="E4" s="5" t="s">
        <v>227</v>
      </c>
    </row>
    <row r="5" customFormat="false" ht="15" hidden="false" customHeight="false" outlineLevel="0" collapsed="false">
      <c r="A5" s="4" t="s">
        <v>228</v>
      </c>
      <c r="B5" s="5" t="s">
        <v>229</v>
      </c>
      <c r="C5" s="5" t="s">
        <v>230</v>
      </c>
      <c r="D5" s="5" t="s">
        <v>226</v>
      </c>
      <c r="E5" s="5" t="s">
        <v>231</v>
      </c>
    </row>
    <row r="6" customFormat="false" ht="15" hidden="false" customHeight="false" outlineLevel="0" collapsed="false">
      <c r="A6" s="4" t="s">
        <v>232</v>
      </c>
      <c r="B6" s="5" t="s">
        <v>233</v>
      </c>
      <c r="C6" s="5" t="s">
        <v>234</v>
      </c>
      <c r="D6" s="5" t="s">
        <v>226</v>
      </c>
      <c r="E6" s="5" t="s">
        <v>235</v>
      </c>
    </row>
    <row r="7" customFormat="false" ht="23.85" hidden="false" customHeight="false" outlineLevel="0" collapsed="false">
      <c r="A7" s="4" t="s">
        <v>236</v>
      </c>
      <c r="B7" s="5" t="s">
        <v>237</v>
      </c>
      <c r="C7" s="5" t="s">
        <v>238</v>
      </c>
      <c r="D7" s="5" t="s">
        <v>239</v>
      </c>
      <c r="E7" s="5" t="s">
        <v>240</v>
      </c>
    </row>
    <row r="8" customFormat="false" ht="15" hidden="false" customHeight="false" outlineLevel="0" collapsed="false">
      <c r="A8" s="4" t="s">
        <v>241</v>
      </c>
      <c r="B8" s="5" t="s">
        <v>237</v>
      </c>
      <c r="C8" s="5" t="s">
        <v>238</v>
      </c>
      <c r="D8" s="5" t="s">
        <v>226</v>
      </c>
      <c r="E8" s="5" t="s">
        <v>242</v>
      </c>
    </row>
    <row r="9" customFormat="false" ht="15" hidden="false" customHeight="false" outlineLevel="0" collapsed="false">
      <c r="A9" s="4" t="s">
        <v>243</v>
      </c>
      <c r="B9" s="5" t="s">
        <v>244</v>
      </c>
      <c r="C9" s="5" t="s">
        <v>238</v>
      </c>
      <c r="D9" s="5" t="s">
        <v>245</v>
      </c>
      <c r="E9" s="5" t="s">
        <v>246</v>
      </c>
    </row>
    <row r="10" customFormat="false" ht="15" hidden="false" customHeight="false" outlineLevel="0" collapsed="false">
      <c r="A10" s="4" t="s">
        <v>247</v>
      </c>
      <c r="B10" s="5" t="s">
        <v>248</v>
      </c>
      <c r="C10" s="5" t="s">
        <v>238</v>
      </c>
      <c r="D10" s="5" t="s">
        <v>226</v>
      </c>
      <c r="E10" s="5" t="s">
        <v>249</v>
      </c>
    </row>
    <row r="11" customFormat="false" ht="15" hidden="false" customHeight="false" outlineLevel="0" collapsed="false">
      <c r="A11" s="4" t="s">
        <v>250</v>
      </c>
      <c r="B11" s="5" t="s">
        <v>251</v>
      </c>
      <c r="C11" s="5" t="s">
        <v>252</v>
      </c>
      <c r="D11" s="5" t="s">
        <v>226</v>
      </c>
      <c r="E11" s="5" t="s">
        <v>253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62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1" t="s">
        <v>254</v>
      </c>
      <c r="B1" s="1"/>
      <c r="C1" s="1"/>
      <c r="D1" s="1"/>
      <c r="E1" s="1"/>
    </row>
    <row r="2" customFormat="false" ht="30" hidden="false" customHeight="true" outlineLevel="0" collapsed="false">
      <c r="A2" s="2" t="s">
        <v>255</v>
      </c>
      <c r="B2" s="2"/>
      <c r="C2" s="2"/>
      <c r="D2" s="2"/>
      <c r="E2" s="2"/>
    </row>
    <row r="3" customFormat="false" ht="30" hidden="false" customHeight="true" outlineLevel="0" collapsed="false">
      <c r="A3" s="3" t="s">
        <v>256</v>
      </c>
      <c r="B3" s="3" t="s">
        <v>257</v>
      </c>
      <c r="C3" s="3" t="s">
        <v>258</v>
      </c>
      <c r="D3" s="3" t="s">
        <v>259</v>
      </c>
      <c r="E3" s="3" t="s">
        <v>40</v>
      </c>
    </row>
    <row r="4" customFormat="false" ht="15" hidden="false" customHeight="false" outlineLevel="0" collapsed="false">
      <c r="A4" s="5" t="s">
        <v>260</v>
      </c>
      <c r="B4" s="5" t="s">
        <v>261</v>
      </c>
      <c r="C4" s="5" t="s">
        <v>262</v>
      </c>
      <c r="D4" s="5" t="s">
        <v>263</v>
      </c>
      <c r="E4" s="11"/>
    </row>
    <row r="5" customFormat="false" ht="15" hidden="false" customHeight="false" outlineLevel="0" collapsed="false">
      <c r="A5" s="5" t="s">
        <v>264</v>
      </c>
      <c r="B5" s="5" t="s">
        <v>261</v>
      </c>
      <c r="C5" s="5" t="s">
        <v>261</v>
      </c>
      <c r="D5" s="5" t="s">
        <v>265</v>
      </c>
      <c r="E5" s="11"/>
    </row>
    <row r="6" customFormat="false" ht="23.85" hidden="false" customHeight="false" outlineLevel="0" collapsed="false">
      <c r="A6" s="5" t="s">
        <v>266</v>
      </c>
      <c r="B6" s="5" t="s">
        <v>261</v>
      </c>
      <c r="C6" s="5" t="s">
        <v>262</v>
      </c>
      <c r="D6" s="5" t="s">
        <v>267</v>
      </c>
      <c r="E6" s="11"/>
    </row>
    <row r="7" customFormat="false" ht="23.85" hidden="false" customHeight="false" outlineLevel="0" collapsed="false">
      <c r="A7" s="5" t="s">
        <v>268</v>
      </c>
      <c r="B7" s="5" t="s">
        <v>269</v>
      </c>
      <c r="C7" s="5" t="s">
        <v>262</v>
      </c>
      <c r="D7" s="5" t="s">
        <v>270</v>
      </c>
      <c r="E7" s="11"/>
    </row>
    <row r="8" customFormat="false" ht="23.85" hidden="false" customHeight="false" outlineLevel="0" collapsed="false">
      <c r="A8" s="5" t="s">
        <v>271</v>
      </c>
      <c r="B8" s="5" t="s">
        <v>269</v>
      </c>
      <c r="C8" s="5" t="s">
        <v>262</v>
      </c>
      <c r="D8" s="5" t="s">
        <v>272</v>
      </c>
      <c r="E8" s="11"/>
    </row>
    <row r="9" customFormat="false" ht="15" hidden="false" customHeight="false" outlineLevel="0" collapsed="false">
      <c r="A9" s="5" t="s">
        <v>273</v>
      </c>
      <c r="B9" s="5" t="s">
        <v>261</v>
      </c>
      <c r="C9" s="5" t="s">
        <v>261</v>
      </c>
      <c r="D9" s="5" t="s">
        <v>274</v>
      </c>
      <c r="E9" s="11"/>
    </row>
    <row r="10" customFormat="false" ht="15" hidden="false" customHeight="false" outlineLevel="0" collapsed="false">
      <c r="A10" s="5" t="s">
        <v>275</v>
      </c>
      <c r="B10" s="5" t="s">
        <v>262</v>
      </c>
      <c r="C10" s="5" t="s">
        <v>261</v>
      </c>
      <c r="D10" s="5" t="s">
        <v>276</v>
      </c>
      <c r="E10" s="11"/>
    </row>
  </sheetData>
  <mergeCells count="2">
    <mergeCell ref="A1:E1"/>
    <mergeCell ref="A2:E2"/>
  </mergeCells>
  <conditionalFormatting sqref="B4:B50">
    <cfRule type="cellIs" priority="2" operator="equal" aboveAverage="0" equalAverage="0" bottom="0" percent="0" rank="0" text="" dxfId="11">
      <formula>"Élevé"</formula>
    </cfRule>
    <cfRule type="cellIs" priority="3" operator="equal" aboveAverage="0" equalAverage="0" bottom="0" percent="0" rank="0" text="" dxfId="13">
      <formula>"Moyen"</formula>
    </cfRule>
  </conditionalFormatting>
  <conditionalFormatting sqref="C4:C50">
    <cfRule type="cellIs" priority="4" operator="equal" aboveAverage="0" equalAverage="0" bottom="0" percent="0" rank="0" text="" dxfId="11">
      <formula>"Élevé"</formula>
    </cfRule>
    <cfRule type="cellIs" priority="5" operator="equal" aboveAverage="0" equalAverage="0" bottom="0" percent="0" rank="0" text="" dxfId="13">
      <formula>"Moyen"</formula>
    </cfRule>
  </conditionalFormatting>
  <dataValidations count="1">
    <dataValidation allowBlank="false" errorStyle="stop" operator="between" showDropDown="false" showErrorMessage="false" showInputMessage="false" sqref="B4:C50" type="list">
      <formula1>"Faible,Moyen,Élevé"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2026-09-30T19:31:05Z</dcterms:created>
  <dc:creator>openpyxl</dc:creator>
  <dc:description/>
  <dc:language>en-US</dc:language>
  <cp:lastModifiedBy/>
  <dcterms:modified xsi:type="dcterms:W3CDTF">2026-09-30T19:31:05Z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